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/>
  <workbookPr date1904="1" showInkAnnotation="0" autoCompressPictures="0"/>
  <bookViews>
    <workbookView xWindow="0" yWindow="0" windowWidth="28740" windowHeight="17540" tabRatio="500"/>
  </bookViews>
  <sheets>
    <sheet name="Normal(m,s)" sheetId="24" r:id="rId1"/>
  </sheets>
  <definedNames>
    <definedName name="ENV_DATA">OFFSET(#REF!,0,0,COUNT(#REF!),1)</definedName>
    <definedName name="FOIL.LINE.A_HELD__WPN" localSheetId="0">'Normal(m,s)'!#REF!</definedName>
    <definedName name="N_ENV_DATA">OFFSET(#REF!,0,0,COUNT(#REF!),1)</definedName>
    <definedName name="N_RAWDATA">OFFSET(#REF!,0,0,COUNT(#REF!),1)</definedName>
    <definedName name="OCCURDATA">OFFSET(#REF!,0,0,COUNT(#REF!),1)</definedName>
    <definedName name="RAWDATA">OFFSET(#REF!,0,0,COUNT(#REF!),1)</definedName>
    <definedName name="REFDATA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01" i="24" l="1"/>
  <c r="Q101" i="24"/>
  <c r="R100" i="24"/>
  <c r="Q100" i="24"/>
  <c r="R99" i="24"/>
  <c r="Q99" i="24"/>
  <c r="R98" i="24"/>
  <c r="Q98" i="24"/>
  <c r="R97" i="24"/>
  <c r="Q97" i="24"/>
  <c r="R96" i="24"/>
  <c r="Q96" i="24"/>
  <c r="R95" i="24"/>
  <c r="Q95" i="24"/>
  <c r="R94" i="24"/>
  <c r="Q94" i="24"/>
  <c r="R93" i="24"/>
  <c r="Q93" i="24"/>
  <c r="R92" i="24"/>
  <c r="Q92" i="24"/>
  <c r="R91" i="24"/>
  <c r="Q91" i="24"/>
  <c r="R90" i="24"/>
  <c r="Q90" i="24"/>
  <c r="R89" i="24"/>
  <c r="Q89" i="24"/>
  <c r="R88" i="24"/>
  <c r="Q88" i="24"/>
  <c r="R87" i="24"/>
  <c r="Q87" i="24"/>
  <c r="R86" i="24"/>
  <c r="Q86" i="24"/>
  <c r="R85" i="24"/>
  <c r="Q85" i="24"/>
  <c r="R84" i="24"/>
  <c r="Q84" i="24"/>
  <c r="R83" i="24"/>
  <c r="Q83" i="24"/>
  <c r="R82" i="24"/>
  <c r="Q82" i="24"/>
  <c r="R81" i="24"/>
  <c r="Q81" i="24"/>
  <c r="R80" i="24"/>
  <c r="Q80" i="24"/>
  <c r="R79" i="24"/>
  <c r="Q79" i="24"/>
  <c r="R78" i="24"/>
  <c r="Q78" i="24"/>
  <c r="R77" i="24"/>
  <c r="Q77" i="24"/>
  <c r="R76" i="24"/>
  <c r="Q76" i="24"/>
  <c r="R75" i="24"/>
  <c r="Q75" i="24"/>
  <c r="R74" i="24"/>
  <c r="Q74" i="24"/>
  <c r="R73" i="24"/>
  <c r="Q73" i="24"/>
  <c r="R72" i="24"/>
  <c r="Q72" i="24"/>
  <c r="R71" i="24"/>
  <c r="Q71" i="24"/>
  <c r="R70" i="24"/>
  <c r="Q70" i="24"/>
  <c r="R69" i="24"/>
  <c r="Q69" i="24"/>
  <c r="R68" i="24"/>
  <c r="Q68" i="24"/>
  <c r="R67" i="24"/>
  <c r="Q67" i="24"/>
  <c r="R66" i="24"/>
  <c r="Q66" i="24"/>
  <c r="R65" i="24"/>
  <c r="Q65" i="24"/>
  <c r="R64" i="24"/>
  <c r="Q64" i="24"/>
  <c r="R63" i="24"/>
  <c r="Q63" i="24"/>
  <c r="R62" i="24"/>
  <c r="Q62" i="24"/>
  <c r="R61" i="24"/>
  <c r="Q61" i="24"/>
  <c r="R60" i="24"/>
  <c r="Q60" i="24"/>
  <c r="R59" i="24"/>
  <c r="Q59" i="24"/>
  <c r="R58" i="24"/>
  <c r="Q58" i="24"/>
  <c r="R57" i="24"/>
  <c r="Q57" i="24"/>
  <c r="R56" i="24"/>
  <c r="Q56" i="24"/>
  <c r="R55" i="24"/>
  <c r="Q55" i="24"/>
  <c r="R54" i="24"/>
  <c r="Q54" i="24"/>
  <c r="R53" i="24"/>
  <c r="Q53" i="24"/>
  <c r="R52" i="24"/>
  <c r="Q52" i="24"/>
  <c r="R51" i="24"/>
  <c r="Q51" i="24"/>
  <c r="R50" i="24"/>
  <c r="Q50" i="24"/>
  <c r="R49" i="24"/>
  <c r="Q49" i="24"/>
  <c r="R48" i="24"/>
  <c r="Q48" i="24"/>
  <c r="R47" i="24"/>
  <c r="Q47" i="24"/>
  <c r="R46" i="24"/>
  <c r="Q46" i="24"/>
  <c r="R45" i="24"/>
  <c r="Q45" i="24"/>
  <c r="R44" i="24"/>
  <c r="Q44" i="24"/>
  <c r="R43" i="24"/>
  <c r="Q43" i="24"/>
  <c r="R42" i="24"/>
  <c r="Q42" i="24"/>
  <c r="R41" i="24"/>
  <c r="Q41" i="24"/>
  <c r="R40" i="24"/>
  <c r="Q40" i="24"/>
  <c r="R39" i="24"/>
  <c r="Q39" i="24"/>
  <c r="R38" i="24"/>
  <c r="Q38" i="24"/>
  <c r="R37" i="24"/>
  <c r="Q37" i="24"/>
  <c r="R36" i="24"/>
  <c r="Q36" i="24"/>
  <c r="R35" i="24"/>
  <c r="Q35" i="24"/>
  <c r="R34" i="24"/>
  <c r="Q34" i="24"/>
  <c r="R33" i="24"/>
  <c r="Q33" i="24"/>
  <c r="R32" i="24"/>
  <c r="Q32" i="24"/>
  <c r="R31" i="24"/>
  <c r="Q31" i="24"/>
  <c r="R30" i="24"/>
  <c r="Q30" i="24"/>
  <c r="R29" i="24"/>
  <c r="Q29" i="24"/>
  <c r="R28" i="24"/>
  <c r="Q28" i="24"/>
  <c r="R27" i="24"/>
  <c r="Q27" i="24"/>
  <c r="R26" i="24"/>
  <c r="Q26" i="24"/>
  <c r="R25" i="24"/>
  <c r="Q25" i="24"/>
  <c r="R24" i="24"/>
  <c r="Q24" i="24"/>
  <c r="R23" i="24"/>
  <c r="Q23" i="24"/>
  <c r="R22" i="24"/>
  <c r="Q22" i="24"/>
  <c r="R21" i="24"/>
  <c r="Q21" i="24"/>
  <c r="R20" i="24"/>
  <c r="Q20" i="24"/>
  <c r="R19" i="24"/>
  <c r="Q19" i="24"/>
  <c r="R18" i="24"/>
  <c r="Q18" i="24"/>
  <c r="R17" i="24"/>
  <c r="Q17" i="24"/>
  <c r="R16" i="24"/>
  <c r="Q16" i="24"/>
  <c r="R15" i="24"/>
  <c r="Q15" i="24"/>
  <c r="R14" i="24"/>
  <c r="Q14" i="24"/>
  <c r="R13" i="24"/>
  <c r="Q13" i="24"/>
  <c r="R12" i="24"/>
  <c r="Q12" i="24"/>
  <c r="R11" i="24"/>
  <c r="Q11" i="24"/>
  <c r="R10" i="24"/>
  <c r="Q10" i="24"/>
  <c r="R9" i="24"/>
  <c r="Q9" i="24"/>
  <c r="R8" i="24"/>
  <c r="Q8" i="24"/>
  <c r="R7" i="24"/>
  <c r="Q7" i="24"/>
  <c r="R6" i="24"/>
  <c r="Q6" i="24"/>
  <c r="R5" i="24"/>
  <c r="Q5" i="24"/>
  <c r="O101" i="24"/>
  <c r="N101" i="24"/>
  <c r="O100" i="24"/>
  <c r="N100" i="24"/>
  <c r="O99" i="24"/>
  <c r="N99" i="24"/>
  <c r="O98" i="24"/>
  <c r="N98" i="24"/>
  <c r="O97" i="24"/>
  <c r="N97" i="24"/>
  <c r="O96" i="24"/>
  <c r="N96" i="24"/>
  <c r="O95" i="24"/>
  <c r="N95" i="24"/>
  <c r="O94" i="24"/>
  <c r="N94" i="24"/>
  <c r="O93" i="24"/>
  <c r="N93" i="24"/>
  <c r="O92" i="24"/>
  <c r="N92" i="24"/>
  <c r="O91" i="24"/>
  <c r="N91" i="24"/>
  <c r="O90" i="24"/>
  <c r="N90" i="24"/>
  <c r="O89" i="24"/>
  <c r="N89" i="24"/>
  <c r="O88" i="24"/>
  <c r="N88" i="24"/>
  <c r="O87" i="24"/>
  <c r="N87" i="24"/>
  <c r="O86" i="24"/>
  <c r="N86" i="24"/>
  <c r="O85" i="24"/>
  <c r="N85" i="24"/>
  <c r="O84" i="24"/>
  <c r="N84" i="24"/>
  <c r="O83" i="24"/>
  <c r="N83" i="24"/>
  <c r="O82" i="24"/>
  <c r="N82" i="24"/>
  <c r="O81" i="24"/>
  <c r="N81" i="24"/>
  <c r="O80" i="24"/>
  <c r="N80" i="24"/>
  <c r="O79" i="24"/>
  <c r="N79" i="24"/>
  <c r="O78" i="24"/>
  <c r="N78" i="24"/>
  <c r="O77" i="24"/>
  <c r="N77" i="24"/>
  <c r="O76" i="24"/>
  <c r="N76" i="24"/>
  <c r="O75" i="24"/>
  <c r="N75" i="24"/>
  <c r="O74" i="24"/>
  <c r="N74" i="24"/>
  <c r="O73" i="24"/>
  <c r="N73" i="24"/>
  <c r="O72" i="24"/>
  <c r="N72" i="24"/>
  <c r="O71" i="24"/>
  <c r="N71" i="24"/>
  <c r="O70" i="24"/>
  <c r="N70" i="24"/>
  <c r="O69" i="24"/>
  <c r="N69" i="24"/>
  <c r="O68" i="24"/>
  <c r="N68" i="24"/>
  <c r="O67" i="24"/>
  <c r="N67" i="24"/>
  <c r="O66" i="24"/>
  <c r="N66" i="24"/>
  <c r="O65" i="24"/>
  <c r="N65" i="24"/>
  <c r="O64" i="24"/>
  <c r="N64" i="24"/>
  <c r="O63" i="24"/>
  <c r="N63" i="24"/>
  <c r="O62" i="24"/>
  <c r="N62" i="24"/>
  <c r="O61" i="24"/>
  <c r="N61" i="24"/>
  <c r="O60" i="24"/>
  <c r="N60" i="24"/>
  <c r="O59" i="24"/>
  <c r="N59" i="24"/>
  <c r="O58" i="24"/>
  <c r="N58" i="24"/>
  <c r="O57" i="24"/>
  <c r="N57" i="24"/>
  <c r="O56" i="24"/>
  <c r="N56" i="24"/>
  <c r="O55" i="24"/>
  <c r="N55" i="24"/>
  <c r="O54" i="24"/>
  <c r="N54" i="24"/>
  <c r="O53" i="24"/>
  <c r="N53" i="24"/>
  <c r="O52" i="24"/>
  <c r="N52" i="24"/>
  <c r="O51" i="24"/>
  <c r="N51" i="24"/>
  <c r="O50" i="24"/>
  <c r="N50" i="24"/>
  <c r="O49" i="24"/>
  <c r="N49" i="24"/>
  <c r="O48" i="24"/>
  <c r="N48" i="24"/>
  <c r="O47" i="24"/>
  <c r="N47" i="24"/>
  <c r="O46" i="24"/>
  <c r="N46" i="24"/>
  <c r="O45" i="24"/>
  <c r="N45" i="24"/>
  <c r="O44" i="24"/>
  <c r="N44" i="24"/>
  <c r="O43" i="24"/>
  <c r="N43" i="24"/>
  <c r="O42" i="24"/>
  <c r="N42" i="24"/>
  <c r="O41" i="24"/>
  <c r="N41" i="24"/>
  <c r="O40" i="24"/>
  <c r="N40" i="24"/>
  <c r="O39" i="24"/>
  <c r="N39" i="24"/>
  <c r="O38" i="24"/>
  <c r="N38" i="24"/>
  <c r="O37" i="24"/>
  <c r="N37" i="24"/>
  <c r="O36" i="24"/>
  <c r="N36" i="24"/>
  <c r="O35" i="24"/>
  <c r="N35" i="24"/>
  <c r="O34" i="24"/>
  <c r="N34" i="24"/>
  <c r="O33" i="24"/>
  <c r="N33" i="24"/>
  <c r="O32" i="24"/>
  <c r="N32" i="24"/>
  <c r="O31" i="24"/>
  <c r="N31" i="24"/>
  <c r="O30" i="24"/>
  <c r="N30" i="24"/>
  <c r="O29" i="24"/>
  <c r="N29" i="24"/>
  <c r="O28" i="24"/>
  <c r="N28" i="24"/>
  <c r="O27" i="24"/>
  <c r="N27" i="24"/>
  <c r="O26" i="24"/>
  <c r="N26" i="24"/>
  <c r="O25" i="24"/>
  <c r="N25" i="24"/>
  <c r="O24" i="24"/>
  <c r="N24" i="24"/>
  <c r="O23" i="24"/>
  <c r="N23" i="24"/>
  <c r="O22" i="24"/>
  <c r="N22" i="24"/>
  <c r="O21" i="24"/>
  <c r="N21" i="24"/>
  <c r="O20" i="24"/>
  <c r="N20" i="24"/>
  <c r="O19" i="24"/>
  <c r="N19" i="24"/>
  <c r="O18" i="24"/>
  <c r="N18" i="24"/>
  <c r="O17" i="24"/>
  <c r="N17" i="24"/>
  <c r="O16" i="24"/>
  <c r="N16" i="24"/>
  <c r="O15" i="24"/>
  <c r="N15" i="24"/>
  <c r="O14" i="24"/>
  <c r="N14" i="24"/>
  <c r="O13" i="24"/>
  <c r="N13" i="24"/>
  <c r="O12" i="24"/>
  <c r="N12" i="24"/>
  <c r="O11" i="24"/>
  <c r="N11" i="24"/>
  <c r="O10" i="24"/>
  <c r="N10" i="24"/>
  <c r="O9" i="24"/>
  <c r="N9" i="24"/>
  <c r="O8" i="24"/>
  <c r="N8" i="24"/>
  <c r="O7" i="24"/>
  <c r="N7" i="24"/>
  <c r="O6" i="24"/>
  <c r="N6" i="24"/>
  <c r="O5" i="24"/>
  <c r="N5" i="24"/>
  <c r="L101" i="24"/>
  <c r="K101" i="24"/>
  <c r="L100" i="24"/>
  <c r="K100" i="24"/>
  <c r="L99" i="24"/>
  <c r="K99" i="24"/>
  <c r="L98" i="24"/>
  <c r="K98" i="24"/>
  <c r="L97" i="24"/>
  <c r="K97" i="24"/>
  <c r="L96" i="24"/>
  <c r="K96" i="24"/>
  <c r="L95" i="24"/>
  <c r="K95" i="24"/>
  <c r="L94" i="24"/>
  <c r="K94" i="24"/>
  <c r="L93" i="24"/>
  <c r="K93" i="24"/>
  <c r="L92" i="24"/>
  <c r="K92" i="24"/>
  <c r="L91" i="24"/>
  <c r="K91" i="24"/>
  <c r="L90" i="24"/>
  <c r="K90" i="24"/>
  <c r="L89" i="24"/>
  <c r="K89" i="24"/>
  <c r="L88" i="24"/>
  <c r="K88" i="24"/>
  <c r="L87" i="24"/>
  <c r="K87" i="24"/>
  <c r="L86" i="24"/>
  <c r="K86" i="24"/>
  <c r="L85" i="24"/>
  <c r="K85" i="24"/>
  <c r="L84" i="24"/>
  <c r="K84" i="24"/>
  <c r="L83" i="24"/>
  <c r="K83" i="24"/>
  <c r="L82" i="24"/>
  <c r="K82" i="24"/>
  <c r="L81" i="24"/>
  <c r="K81" i="24"/>
  <c r="L80" i="24"/>
  <c r="K80" i="24"/>
  <c r="L79" i="24"/>
  <c r="K79" i="24"/>
  <c r="L78" i="24"/>
  <c r="K78" i="24"/>
  <c r="L77" i="24"/>
  <c r="K77" i="24"/>
  <c r="L76" i="24"/>
  <c r="K76" i="24"/>
  <c r="L75" i="24"/>
  <c r="K75" i="24"/>
  <c r="L74" i="24"/>
  <c r="K74" i="24"/>
  <c r="L73" i="24"/>
  <c r="K73" i="24"/>
  <c r="L72" i="24"/>
  <c r="K72" i="24"/>
  <c r="L71" i="24"/>
  <c r="K71" i="24"/>
  <c r="L70" i="24"/>
  <c r="K70" i="24"/>
  <c r="L69" i="24"/>
  <c r="K69" i="24"/>
  <c r="L68" i="24"/>
  <c r="K68" i="24"/>
  <c r="L67" i="24"/>
  <c r="K67" i="24"/>
  <c r="L66" i="24"/>
  <c r="K66" i="24"/>
  <c r="L65" i="24"/>
  <c r="K65" i="24"/>
  <c r="L64" i="24"/>
  <c r="K64" i="24"/>
  <c r="L63" i="24"/>
  <c r="K63" i="24"/>
  <c r="L62" i="24"/>
  <c r="K62" i="24"/>
  <c r="L61" i="24"/>
  <c r="K61" i="24"/>
  <c r="L60" i="24"/>
  <c r="K60" i="24"/>
  <c r="L59" i="24"/>
  <c r="K59" i="24"/>
  <c r="L58" i="24"/>
  <c r="K58" i="24"/>
  <c r="L57" i="24"/>
  <c r="K57" i="24"/>
  <c r="L56" i="24"/>
  <c r="K56" i="24"/>
  <c r="L55" i="24"/>
  <c r="K55" i="24"/>
  <c r="L54" i="24"/>
  <c r="K54" i="24"/>
  <c r="L53" i="24"/>
  <c r="K53" i="24"/>
  <c r="L52" i="24"/>
  <c r="K52" i="24"/>
  <c r="L51" i="24"/>
  <c r="K51" i="24"/>
  <c r="L50" i="24"/>
  <c r="K50" i="24"/>
  <c r="L49" i="24"/>
  <c r="K49" i="24"/>
  <c r="L48" i="24"/>
  <c r="K48" i="24"/>
  <c r="L47" i="24"/>
  <c r="K47" i="24"/>
  <c r="L46" i="24"/>
  <c r="K46" i="24"/>
  <c r="L45" i="24"/>
  <c r="K45" i="24"/>
  <c r="L44" i="24"/>
  <c r="K44" i="24"/>
  <c r="L43" i="24"/>
  <c r="K43" i="24"/>
  <c r="L42" i="24"/>
  <c r="K42" i="24"/>
  <c r="L41" i="24"/>
  <c r="K41" i="24"/>
  <c r="L40" i="24"/>
  <c r="K40" i="24"/>
  <c r="L39" i="24"/>
  <c r="K39" i="24"/>
  <c r="L38" i="24"/>
  <c r="K38" i="24"/>
  <c r="L37" i="24"/>
  <c r="K37" i="24"/>
  <c r="L36" i="24"/>
  <c r="K36" i="24"/>
  <c r="L35" i="24"/>
  <c r="K35" i="24"/>
  <c r="L34" i="24"/>
  <c r="K34" i="24"/>
  <c r="L33" i="24"/>
  <c r="K33" i="24"/>
  <c r="L32" i="24"/>
  <c r="K32" i="24"/>
  <c r="L31" i="24"/>
  <c r="K31" i="24"/>
  <c r="L30" i="24"/>
  <c r="K30" i="24"/>
  <c r="L29" i="24"/>
  <c r="K29" i="24"/>
  <c r="L28" i="24"/>
  <c r="K28" i="24"/>
  <c r="L27" i="24"/>
  <c r="K27" i="24"/>
  <c r="L26" i="24"/>
  <c r="K26" i="24"/>
  <c r="L25" i="24"/>
  <c r="K25" i="24"/>
  <c r="L24" i="24"/>
  <c r="K24" i="24"/>
  <c r="L23" i="24"/>
  <c r="K23" i="24"/>
  <c r="L22" i="24"/>
  <c r="K22" i="24"/>
  <c r="L21" i="24"/>
  <c r="K21" i="24"/>
  <c r="L20" i="24"/>
  <c r="K20" i="24"/>
  <c r="L19" i="24"/>
  <c r="K19" i="24"/>
  <c r="L18" i="24"/>
  <c r="K18" i="24"/>
  <c r="L17" i="24"/>
  <c r="K17" i="24"/>
  <c r="L16" i="24"/>
  <c r="K16" i="24"/>
  <c r="L15" i="24"/>
  <c r="K15" i="24"/>
  <c r="L14" i="24"/>
  <c r="K14" i="24"/>
  <c r="L13" i="24"/>
  <c r="K13" i="24"/>
  <c r="L12" i="24"/>
  <c r="K12" i="24"/>
  <c r="L11" i="24"/>
  <c r="K11" i="24"/>
  <c r="L10" i="24"/>
  <c r="K10" i="24"/>
  <c r="L9" i="24"/>
  <c r="K9" i="24"/>
  <c r="L8" i="24"/>
  <c r="K8" i="24"/>
  <c r="L7" i="24"/>
  <c r="K7" i="24"/>
  <c r="L6" i="24"/>
  <c r="K6" i="24"/>
  <c r="L5" i="24"/>
  <c r="K5" i="24"/>
  <c r="I101" i="24"/>
  <c r="H101" i="24"/>
  <c r="I100" i="24"/>
  <c r="H100" i="24"/>
  <c r="I99" i="24"/>
  <c r="H99" i="24"/>
  <c r="I98" i="24"/>
  <c r="H98" i="24"/>
  <c r="I97" i="24"/>
  <c r="H97" i="24"/>
  <c r="I96" i="24"/>
  <c r="H96" i="24"/>
  <c r="I95" i="24"/>
  <c r="H95" i="24"/>
  <c r="I94" i="24"/>
  <c r="H94" i="24"/>
  <c r="I93" i="24"/>
  <c r="H93" i="24"/>
  <c r="I92" i="24"/>
  <c r="H92" i="24"/>
  <c r="I91" i="24"/>
  <c r="H91" i="24"/>
  <c r="I90" i="24"/>
  <c r="H90" i="24"/>
  <c r="I89" i="24"/>
  <c r="H89" i="24"/>
  <c r="I88" i="24"/>
  <c r="H88" i="24"/>
  <c r="I87" i="24"/>
  <c r="H87" i="24"/>
  <c r="I86" i="24"/>
  <c r="H86" i="24"/>
  <c r="I85" i="24"/>
  <c r="H85" i="24"/>
  <c r="I84" i="24"/>
  <c r="H84" i="24"/>
  <c r="I83" i="24"/>
  <c r="H83" i="24"/>
  <c r="I82" i="24"/>
  <c r="H82" i="24"/>
  <c r="I81" i="24"/>
  <c r="H81" i="24"/>
  <c r="I80" i="24"/>
  <c r="H80" i="24"/>
  <c r="I79" i="24"/>
  <c r="H79" i="24"/>
  <c r="I78" i="24"/>
  <c r="H78" i="24"/>
  <c r="I77" i="24"/>
  <c r="H77" i="24"/>
  <c r="I76" i="24"/>
  <c r="H76" i="24"/>
  <c r="I75" i="24"/>
  <c r="H75" i="24"/>
  <c r="I74" i="24"/>
  <c r="H74" i="24"/>
  <c r="I73" i="24"/>
  <c r="H73" i="24"/>
  <c r="I72" i="24"/>
  <c r="H72" i="24"/>
  <c r="I71" i="24"/>
  <c r="H71" i="24"/>
  <c r="I70" i="24"/>
  <c r="H70" i="24"/>
  <c r="I69" i="24"/>
  <c r="H69" i="24"/>
  <c r="I68" i="24"/>
  <c r="H68" i="24"/>
  <c r="I67" i="24"/>
  <c r="H67" i="24"/>
  <c r="I66" i="24"/>
  <c r="H66" i="24"/>
  <c r="I65" i="24"/>
  <c r="H65" i="24"/>
  <c r="I64" i="24"/>
  <c r="H64" i="24"/>
  <c r="I63" i="24"/>
  <c r="H63" i="24"/>
  <c r="I62" i="24"/>
  <c r="H62" i="24"/>
  <c r="I61" i="24"/>
  <c r="H61" i="24"/>
  <c r="I60" i="24"/>
  <c r="H60" i="24"/>
  <c r="I59" i="24"/>
  <c r="H59" i="24"/>
  <c r="I58" i="24"/>
  <c r="H58" i="24"/>
  <c r="I57" i="24"/>
  <c r="H57" i="24"/>
  <c r="I56" i="24"/>
  <c r="H56" i="24"/>
  <c r="I55" i="24"/>
  <c r="H55" i="24"/>
  <c r="I54" i="24"/>
  <c r="H54" i="24"/>
  <c r="I53" i="24"/>
  <c r="H53" i="24"/>
  <c r="I52" i="24"/>
  <c r="H52" i="24"/>
  <c r="I51" i="24"/>
  <c r="H51" i="24"/>
  <c r="I50" i="24"/>
  <c r="H50" i="24"/>
  <c r="I49" i="24"/>
  <c r="H49" i="24"/>
  <c r="I48" i="24"/>
  <c r="H48" i="24"/>
  <c r="I47" i="24"/>
  <c r="H47" i="24"/>
  <c r="I46" i="24"/>
  <c r="H46" i="24"/>
  <c r="I45" i="24"/>
  <c r="H45" i="24"/>
  <c r="I44" i="24"/>
  <c r="H44" i="24"/>
  <c r="I43" i="24"/>
  <c r="H43" i="24"/>
  <c r="I42" i="24"/>
  <c r="H42" i="24"/>
  <c r="I41" i="24"/>
  <c r="H41" i="24"/>
  <c r="I40" i="24"/>
  <c r="H40" i="24"/>
  <c r="I39" i="24"/>
  <c r="H39" i="24"/>
  <c r="I38" i="24"/>
  <c r="H38" i="24"/>
  <c r="I37" i="24"/>
  <c r="H37" i="24"/>
  <c r="I36" i="24"/>
  <c r="H36" i="24"/>
  <c r="I35" i="24"/>
  <c r="H35" i="24"/>
  <c r="I34" i="24"/>
  <c r="H34" i="24"/>
  <c r="I33" i="24"/>
  <c r="H33" i="24"/>
  <c r="I32" i="24"/>
  <c r="H32" i="24"/>
  <c r="I31" i="24"/>
  <c r="H31" i="24"/>
  <c r="I30" i="24"/>
  <c r="H30" i="24"/>
  <c r="I29" i="24"/>
  <c r="H29" i="24"/>
  <c r="I28" i="24"/>
  <c r="H28" i="24"/>
  <c r="I27" i="24"/>
  <c r="H27" i="24"/>
  <c r="I26" i="24"/>
  <c r="H26" i="24"/>
  <c r="I25" i="24"/>
  <c r="H25" i="24"/>
  <c r="I24" i="24"/>
  <c r="H24" i="24"/>
  <c r="I23" i="24"/>
  <c r="H23" i="24"/>
  <c r="I22" i="24"/>
  <c r="H22" i="24"/>
  <c r="I21" i="24"/>
  <c r="H21" i="24"/>
  <c r="I20" i="24"/>
  <c r="H20" i="24"/>
  <c r="I19" i="24"/>
  <c r="H19" i="24"/>
  <c r="I18" i="24"/>
  <c r="H18" i="24"/>
  <c r="I17" i="24"/>
  <c r="H17" i="24"/>
  <c r="I16" i="24"/>
  <c r="H16" i="24"/>
  <c r="I15" i="24"/>
  <c r="H15" i="24"/>
  <c r="I14" i="24"/>
  <c r="H14" i="24"/>
  <c r="I13" i="24"/>
  <c r="H13" i="24"/>
  <c r="I12" i="24"/>
  <c r="H12" i="24"/>
  <c r="I11" i="24"/>
  <c r="H11" i="24"/>
  <c r="I10" i="24"/>
  <c r="H10" i="24"/>
  <c r="I9" i="24"/>
  <c r="H9" i="24"/>
  <c r="I8" i="24"/>
  <c r="H8" i="24"/>
  <c r="I7" i="24"/>
  <c r="H7" i="24"/>
  <c r="I6" i="24"/>
  <c r="H6" i="24"/>
  <c r="I5" i="24"/>
  <c r="H5" i="24"/>
  <c r="R4" i="24"/>
  <c r="Q4" i="24"/>
  <c r="O4" i="24"/>
  <c r="N4" i="24"/>
  <c r="L4" i="24"/>
  <c r="K4" i="24"/>
  <c r="I4" i="24"/>
  <c r="H4" i="24"/>
  <c r="F101" i="24"/>
  <c r="E101" i="24"/>
  <c r="F100" i="24"/>
  <c r="E100" i="24"/>
  <c r="F99" i="24"/>
  <c r="E99" i="24"/>
  <c r="F98" i="24"/>
  <c r="E98" i="24"/>
  <c r="F97" i="24"/>
  <c r="E97" i="24"/>
  <c r="F96" i="24"/>
  <c r="E96" i="24"/>
  <c r="F95" i="24"/>
  <c r="E95" i="24"/>
  <c r="F94" i="24"/>
  <c r="E94" i="24"/>
  <c r="F93" i="24"/>
  <c r="E93" i="24"/>
  <c r="F92" i="24"/>
  <c r="E92" i="24"/>
  <c r="F91" i="24"/>
  <c r="E91" i="24"/>
  <c r="F90" i="24"/>
  <c r="E90" i="24"/>
  <c r="F89" i="24"/>
  <c r="E89" i="24"/>
  <c r="F88" i="24"/>
  <c r="E88" i="24"/>
  <c r="F87" i="24"/>
  <c r="E87" i="24"/>
  <c r="F86" i="24"/>
  <c r="E86" i="24"/>
  <c r="F85" i="24"/>
  <c r="E85" i="24"/>
  <c r="F84" i="24"/>
  <c r="E84" i="24"/>
  <c r="F83" i="24"/>
  <c r="E83" i="24"/>
  <c r="F82" i="24"/>
  <c r="E82" i="24"/>
  <c r="F81" i="24"/>
  <c r="E81" i="24"/>
  <c r="F80" i="24"/>
  <c r="E80" i="24"/>
  <c r="F79" i="24"/>
  <c r="E79" i="24"/>
  <c r="F78" i="24"/>
  <c r="E78" i="24"/>
  <c r="F77" i="24"/>
  <c r="E77" i="24"/>
  <c r="F76" i="24"/>
  <c r="E76" i="24"/>
  <c r="F75" i="24"/>
  <c r="E75" i="24"/>
  <c r="F74" i="24"/>
  <c r="E74" i="24"/>
  <c r="F73" i="24"/>
  <c r="E73" i="24"/>
  <c r="F72" i="24"/>
  <c r="E72" i="24"/>
  <c r="F71" i="24"/>
  <c r="E71" i="24"/>
  <c r="F70" i="24"/>
  <c r="E70" i="24"/>
  <c r="F69" i="24"/>
  <c r="E69" i="24"/>
  <c r="F68" i="24"/>
  <c r="E68" i="24"/>
  <c r="F67" i="24"/>
  <c r="E67" i="24"/>
  <c r="F66" i="24"/>
  <c r="E66" i="24"/>
  <c r="F65" i="24"/>
  <c r="E65" i="24"/>
  <c r="F64" i="24"/>
  <c r="E64" i="24"/>
  <c r="F63" i="24"/>
  <c r="E63" i="24"/>
  <c r="F62" i="24"/>
  <c r="E62" i="24"/>
  <c r="F61" i="24"/>
  <c r="E61" i="24"/>
  <c r="F60" i="24"/>
  <c r="E60" i="24"/>
  <c r="F59" i="24"/>
  <c r="E59" i="24"/>
  <c r="F58" i="24"/>
  <c r="E58" i="24"/>
  <c r="F57" i="24"/>
  <c r="E57" i="24"/>
  <c r="F56" i="24"/>
  <c r="E56" i="24"/>
  <c r="F55" i="24"/>
  <c r="E55" i="24"/>
  <c r="F54" i="24"/>
  <c r="E54" i="24"/>
  <c r="F53" i="24"/>
  <c r="E53" i="24"/>
  <c r="F52" i="24"/>
  <c r="E52" i="24"/>
  <c r="F51" i="24"/>
  <c r="E51" i="24"/>
  <c r="F50" i="24"/>
  <c r="E50" i="24"/>
  <c r="F49" i="24"/>
  <c r="E49" i="24"/>
  <c r="F48" i="24"/>
  <c r="E48" i="24"/>
  <c r="F47" i="24"/>
  <c r="E47" i="24"/>
  <c r="F46" i="24"/>
  <c r="E46" i="24"/>
  <c r="F45" i="24"/>
  <c r="E45" i="24"/>
  <c r="F44" i="24"/>
  <c r="E44" i="24"/>
  <c r="F43" i="24"/>
  <c r="E43" i="24"/>
  <c r="F42" i="24"/>
  <c r="E42" i="24"/>
  <c r="F41" i="24"/>
  <c r="E41" i="24"/>
  <c r="F40" i="24"/>
  <c r="E40" i="24"/>
  <c r="F39" i="24"/>
  <c r="E39" i="24"/>
  <c r="F38" i="24"/>
  <c r="E38" i="24"/>
  <c r="F37" i="24"/>
  <c r="E37" i="24"/>
  <c r="F36" i="24"/>
  <c r="E36" i="24"/>
  <c r="F35" i="24"/>
  <c r="E35" i="24"/>
  <c r="F34" i="24"/>
  <c r="E34" i="24"/>
  <c r="F33" i="24"/>
  <c r="E33" i="24"/>
  <c r="F32" i="24"/>
  <c r="E32" i="24"/>
  <c r="F31" i="24"/>
  <c r="E31" i="24"/>
  <c r="F30" i="24"/>
  <c r="E30" i="24"/>
  <c r="F29" i="24"/>
  <c r="E29" i="24"/>
  <c r="F28" i="24"/>
  <c r="E28" i="24"/>
  <c r="F27" i="24"/>
  <c r="E27" i="24"/>
  <c r="F26" i="24"/>
  <c r="E26" i="24"/>
  <c r="F25" i="24"/>
  <c r="E25" i="24"/>
  <c r="F24" i="24"/>
  <c r="E24" i="24"/>
  <c r="F23" i="24"/>
  <c r="E23" i="24"/>
  <c r="F22" i="24"/>
  <c r="E22" i="24"/>
  <c r="F21" i="24"/>
  <c r="E21" i="24"/>
  <c r="F20" i="24"/>
  <c r="E20" i="24"/>
  <c r="F19" i="24"/>
  <c r="E19" i="24"/>
  <c r="F18" i="24"/>
  <c r="E18" i="24"/>
  <c r="F17" i="24"/>
  <c r="E17" i="24"/>
  <c r="F16" i="24"/>
  <c r="E16" i="24"/>
  <c r="F15" i="24"/>
  <c r="E15" i="24"/>
  <c r="F14" i="24"/>
  <c r="E14" i="24"/>
  <c r="F13" i="24"/>
  <c r="E13" i="24"/>
  <c r="F12" i="24"/>
  <c r="E12" i="24"/>
  <c r="F11" i="24"/>
  <c r="E11" i="24"/>
  <c r="F10" i="24"/>
  <c r="E10" i="24"/>
  <c r="F9" i="24"/>
  <c r="E9" i="24"/>
  <c r="F8" i="24"/>
  <c r="E8" i="24"/>
  <c r="F7" i="24"/>
  <c r="E7" i="24"/>
  <c r="F6" i="24"/>
  <c r="E6" i="24"/>
  <c r="F5" i="24"/>
  <c r="E5" i="24"/>
  <c r="F4" i="24"/>
  <c r="E4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</calcChain>
</file>

<file path=xl/connections.xml><?xml version="1.0" encoding="utf-8"?>
<connections xmlns="http://schemas.openxmlformats.org/spreadsheetml/2006/main">
  <connection id="1" name="EPEE.LINE.C-HELD.csv" type="6" refreshedVersion="0" background="1" saveData="1">
    <textPr fileType="mac" sourceFile="Macintosh:Users:jeromedrouin:Documents:Arduino:Projects:WORK_CapacitiveSensors:Weapon Data:Weapon Data - DISTRIBUTION:EPEE.LINE.C-HELD.csv" comma="1" semicolon="1">
      <textFields count="5">
        <textField/>
        <textField/>
        <textField/>
        <textField/>
        <textField/>
      </textFields>
    </textPr>
  </connection>
  <connection id="2" name="FOIL.LINE.A-HELD +WPN.csv" type="6" refreshedVersion="0" background="1" saveData="1">
    <textPr fileType="mac" sourceFile="Macintosh:Users:jeromedrouin:Documents:Arduino:Projects:WORK_CapacitiveSensors:Weapon Data:Weapon Data - DISTRIBUTION:FOIL.LINE.A-HELD +WPN.csv" comma="1" semicolon="1">
      <textFields count="5">
        <textField/>
        <textField/>
        <textField/>
        <textField/>
        <textField/>
      </textFields>
    </textPr>
  </connection>
  <connection id="3" name="FOIL.LINE.A-HELD.csv" type="6" refreshedVersion="0" background="1" saveData="1">
    <textPr fileType="mac" sourceFile="Macintosh:Users:jeromedrouin:Documents:Arduino:Projects:WORK_CapacitiveSensors:Weapon Data:Weapon Data - DISTRIBUTION:FOIL.LINE.A-HELD.csv" comma="1" semicolon="1">
      <textFields count="5">
        <textField/>
        <textField/>
        <textField/>
        <textField/>
        <textField/>
      </textFields>
    </textPr>
  </connection>
  <connection id="4" name="FOIL.LINE.C-HELD.csv" type="6" refreshedVersion="0" background="1" saveData="1">
    <textPr fileType="mac" sourceFile="Macintosh:Users:jeromedrouin:Documents:Arduino:Projects:WORK_CapacitiveSensors:Weapon Data:Weapon Data - DISTRIBUTION:FOIL.LINE.C-HELD.csv" comma="1" semicolon="1">
      <textFields count="5">
        <textField/>
        <textField/>
        <textField/>
        <textField/>
        <textField/>
      </textFields>
    </textPr>
  </connection>
  <connection id="5" name="RAW.csv" type="6" refreshedVersion="0" background="1" saveData="1">
    <textPr fileType="mac" sourceFile="Macintosh:Users:jeromedrouin:Downloads:RAW.csv" tab="0" semicolon="1" qualifier="none">
      <textFields count="4">
        <textField/>
        <textField/>
        <textField/>
        <textField/>
      </textFields>
    </textPr>
  </connection>
  <connection id="6" name="RAW.txt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7" name="RAW.txt1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8" name="raw2.csv" type="6" refreshedVersion="0" background="1" saveData="1">
    <textPr fileType="mac" sourceFile="Macintosh:Users:jeromedrouin:Downloads:raw2.csv" tab="0" semicolon="1">
      <textFields count="4">
        <textField/>
        <textField/>
        <textField/>
        <textField/>
      </textFields>
    </textPr>
  </connection>
  <connection id="9" name="raw3.csv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0" name="raw3.csv1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1" name="raw3.csv2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2" name="raw3.csv3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3" name="raw4.csv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4" name="raw4.csv1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5" name="raw5.csv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6" name="raw5.csv1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7" name="Untitled.csv" type="6" refreshedVersion="0" background="1" saveData="1">
    <textPr fileType="mac" sourceFile="Macintosh:Users:jeromedrouin:Downloads:Untitled.csv" comma="1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<sst xmlns="http://schemas.openxmlformats.org/spreadsheetml/2006/main" count="2" uniqueCount="2">
  <si>
    <t>Mean</t>
  </si>
  <si>
    <t>Std.Dev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</si>
</sst>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6" x14ac:knownFonts="1">
    <font>
      <sz val="12"/>
      <color theme="1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0000FF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45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0" fillId="3" borderId="0" xfId="0" applyFill="1"/>
    <xf numFmtId="0" fontId="5" fillId="4" borderId="0" xfId="0" applyFont="1" applyFill="1"/>
    <xf numFmtId="164" fontId="1" fillId="0" borderId="0" xfId="0" applyNumberFormat="1" applyFont="1"/>
    <xf numFmtId="164" fontId="1" fillId="3" borderId="0" xfId="0" applyNumberFormat="1" applyFont="1" applyFill="1"/>
    <xf numFmtId="165" fontId="0" fillId="0" borderId="0" xfId="0" applyNumberFormat="1"/>
    <xf numFmtId="165" fontId="0" fillId="3" borderId="0" xfId="0" applyNumberFormat="1" applyFill="1"/>
    <xf numFmtId="165" fontId="0" fillId="0" borderId="0" xfId="0" applyNumberFormat="1" applyFont="1"/>
    <xf numFmtId="165" fontId="0" fillId="3" borderId="0" xfId="0" applyNumberFormat="1" applyFont="1" applyFill="1"/>
  </cellXfs>
  <cellStyles count="4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171981030780243"/>
          <c:w val="0.720589998403086"/>
          <c:h val="0.9425419061881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'Normal(m,s)'!$H$4</c:f>
              <c:strCache>
                <c:ptCount val="1"/>
                <c:pt idx="0">
                  <c:v>LogN(m=0;s=1)-PDF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'Normal(m,s)'!$H$5:$H$101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0.54626787075818</c:v>
                </c:pt>
                <c:pt idx="12">
                  <c:v>0.655444168060311</c:v>
                </c:pt>
                <c:pt idx="13">
                  <c:v>0.583573822594504</c:v>
                </c:pt>
                <c:pt idx="14">
                  <c:v>0.486415781111553</c:v>
                </c:pt>
                <c:pt idx="15">
                  <c:v>0.398942280401433</c:v>
                </c:pt>
                <c:pt idx="16">
                  <c:v>0.326972024074256</c:v>
                </c:pt>
                <c:pt idx="17">
                  <c:v>0.269276228949933</c:v>
                </c:pt>
                <c:pt idx="18">
                  <c:v>0.223265447430299</c:v>
                </c:pt>
                <c:pt idx="19">
                  <c:v>0.186472448538908</c:v>
                </c:pt>
                <c:pt idx="20">
                  <c:v>0.156874019278981</c:v>
                </c:pt>
                <c:pt idx="21">
                  <c:v>0.132890686048187</c:v>
                </c:pt>
                <c:pt idx="22">
                  <c:v>0.113309753889709</c:v>
                </c:pt>
                <c:pt idx="23">
                  <c:v>0.0972032590242928</c:v>
                </c:pt>
                <c:pt idx="24">
                  <c:v>0.0838592045694877</c:v>
                </c:pt>
                <c:pt idx="25">
                  <c:v>0.0727282561399947</c:v>
                </c:pt>
                <c:pt idx="26">
                  <c:v>0.0633836557708631</c:v>
                </c:pt>
                <c:pt idx="27">
                  <c:v>0.0554914059289082</c:v>
                </c:pt>
                <c:pt idx="28">
                  <c:v>0.0487881347091861</c:v>
                </c:pt>
                <c:pt idx="29">
                  <c:v>0.0430646189933889</c:v>
                </c:pt>
                <c:pt idx="30">
                  <c:v>0.0381534565118864</c:v>
                </c:pt>
                <c:pt idx="31">
                  <c:v>0.0339197833265838</c:v>
                </c:pt>
                <c:pt idx="32">
                  <c:v>0.0302542356756332</c:v>
                </c:pt>
                <c:pt idx="33">
                  <c:v>0.0270675751221884</c:v>
                </c:pt>
                <c:pt idx="34">
                  <c:v>0.0242865543650144</c:v>
                </c:pt>
                <c:pt idx="35">
                  <c:v>0.0218507148303272</c:v>
                </c:pt>
                <c:pt idx="36">
                  <c:v>0.0197098889771075</c:v>
                </c:pt>
                <c:pt idx="37">
                  <c:v>0.0178222393103492</c:v>
                </c:pt>
                <c:pt idx="38">
                  <c:v>0.0161527089571978</c:v>
                </c:pt>
                <c:pt idx="39">
                  <c:v>0.0146717899506988</c:v>
                </c:pt>
                <c:pt idx="40">
                  <c:v>0.0133545383550539</c:v>
                </c:pt>
                <c:pt idx="41">
                  <c:v>0.0121797823682754</c:v>
                </c:pt>
                <c:pt idx="42">
                  <c:v>0.0111294821955474</c:v>
                </c:pt>
                <c:pt idx="43">
                  <c:v>0.0101882099715284</c:v>
                </c:pt>
                <c:pt idx="44">
                  <c:v>0.00934272516322697</c:v>
                </c:pt>
                <c:pt idx="45">
                  <c:v>0.00858162631399634</c:v>
                </c:pt>
                <c:pt idx="46">
                  <c:v>0.00789506413448607</c:v>
                </c:pt>
                <c:pt idx="47">
                  <c:v>0.0072745041302693</c:v>
                </c:pt>
                <c:pt idx="48">
                  <c:v>0.00671252941526518</c:v>
                </c:pt>
                <c:pt idx="49">
                  <c:v>0.00620267627031284</c:v>
                </c:pt>
                <c:pt idx="50">
                  <c:v>0.00573929649782519</c:v>
                </c:pt>
                <c:pt idx="51">
                  <c:v>0.00531744179406916</c:v>
                </c:pt>
                <c:pt idx="52">
                  <c:v>0.00493276628387181</c:v>
                </c:pt>
                <c:pt idx="53">
                  <c:v>0.00458144409416064</c:v>
                </c:pt>
                <c:pt idx="54">
                  <c:v>0.00426009942514204</c:v>
                </c:pt>
                <c:pt idx="55">
                  <c:v>0.00396574704357276</c:v>
                </c:pt>
                <c:pt idx="56">
                  <c:v>0.00369574149646783</c:v>
                </c:pt>
                <c:pt idx="57">
                  <c:v>0.00344773364502164</c:v>
                </c:pt>
                <c:pt idx="58">
                  <c:v>0.00321963336249663</c:v>
                </c:pt>
                <c:pt idx="59">
                  <c:v>0.0030095774380556</c:v>
                </c:pt>
                <c:pt idx="60">
                  <c:v>0.00281590189015269</c:v>
                </c:pt>
                <c:pt idx="61">
                  <c:v>0.00263711802536997</c:v>
                </c:pt>
                <c:pt idx="62">
                  <c:v>0.00247189168719895</c:v>
                </c:pt>
                <c:pt idx="63">
                  <c:v>0.00231902522874361</c:v>
                </c:pt>
                <c:pt idx="64">
                  <c:v>0.00217744181727148</c:v>
                </c:pt>
                <c:pt idx="65">
                  <c:v>0.00204617173984459</c:v>
                </c:pt>
                <c:pt idx="66">
                  <c:v>0.00192434043023638</c:v>
                </c:pt>
                <c:pt idx="67">
                  <c:v>0.00181115797984793</c:v>
                </c:pt>
                <c:pt idx="68">
                  <c:v>0.00170590993088229</c:v>
                </c:pt>
                <c:pt idx="69">
                  <c:v>0.00160794917984066</c:v>
                </c:pt>
                <c:pt idx="70">
                  <c:v>0.00151668884446066</c:v>
                </c:pt>
                <c:pt idx="71">
                  <c:v>0.00143159596833633</c:v>
                </c:pt>
                <c:pt idx="72">
                  <c:v>0.00135218595530312</c:v>
                </c:pt>
                <c:pt idx="73">
                  <c:v>0.00127801764078474</c:v>
                </c:pt>
                <c:pt idx="74">
                  <c:v>0.00120868892012846</c:v>
                </c:pt>
                <c:pt idx="75">
                  <c:v>0.00114383286487227</c:v>
                </c:pt>
                <c:pt idx="76">
                  <c:v>0.00108311426719606</c:v>
                </c:pt>
                <c:pt idx="77">
                  <c:v>0.00102622656076408</c:v>
                </c:pt>
                <c:pt idx="78">
                  <c:v>0.000972889072977885</c:v>
                </c:pt>
                <c:pt idx="79">
                  <c:v>0.000922844569504484</c:v>
                </c:pt>
                <c:pt idx="80">
                  <c:v>0.000875857056969686</c:v>
                </c:pt>
                <c:pt idx="81">
                  <c:v>0.000831709814035873</c:v>
                </c:pt>
                <c:pt idx="82">
                  <c:v>0.000790203624819416</c:v>
                </c:pt>
                <c:pt idx="83">
                  <c:v>0.000751155191833132</c:v>
                </c:pt>
                <c:pt idx="84">
                  <c:v>0.000714395708436934</c:v>
                </c:pt>
                <c:pt idx="85">
                  <c:v>0.000679769573207191</c:v>
                </c:pt>
                <c:pt idx="86">
                  <c:v>0.000647133230744996</c:v>
                </c:pt>
                <c:pt idx="87">
                  <c:v>0.00061635412527996</c:v>
                </c:pt>
                <c:pt idx="88">
                  <c:v>0.000587309755027442</c:v>
                </c:pt>
                <c:pt idx="89">
                  <c:v>0.000559886816655508</c:v>
                </c:pt>
                <c:pt idx="90">
                  <c:v>0.000533980430440878</c:v>
                </c:pt>
                <c:pt idx="91">
                  <c:v>0.000509493437764556</c:v>
                </c:pt>
                <c:pt idx="92">
                  <c:v>0.000486335763537441</c:v>
                </c:pt>
                <c:pt idx="93">
                  <c:v>0.000464423836971935</c:v>
                </c:pt>
                <c:pt idx="94">
                  <c:v>0.000443680064841654</c:v>
                </c:pt>
                <c:pt idx="95">
                  <c:v>0.000424032352011185</c:v>
                </c:pt>
                <c:pt idx="96">
                  <c:v>0.000405413664582056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'Normal(m,s)'!$K$4</c:f>
              <c:strCache>
                <c:ptCount val="1"/>
                <c:pt idx="0">
                  <c:v>LogN(m=1;s=1)-PDF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'Normal(m,s)'!$K$5:$K$101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0.0662656424061547</c:v>
                </c:pt>
                <c:pt idx="12">
                  <c:v>0.159018793463367</c:v>
                </c:pt>
                <c:pt idx="13">
                  <c:v>0.212373249365561</c:v>
                </c:pt>
                <c:pt idx="14">
                  <c:v>0.236020867689781</c:v>
                </c:pt>
                <c:pt idx="15">
                  <c:v>0.241970724519143</c:v>
                </c:pt>
                <c:pt idx="16">
                  <c:v>0.2379822689632</c:v>
                </c:pt>
                <c:pt idx="17">
                  <c:v>0.228654004305906</c:v>
                </c:pt>
                <c:pt idx="18">
                  <c:v>0.216667742593497</c:v>
                </c:pt>
                <c:pt idx="19">
                  <c:v>0.203582263014961</c:v>
                </c:pt>
                <c:pt idx="20">
                  <c:v>0.190297804810105</c:v>
                </c:pt>
                <c:pt idx="21">
                  <c:v>0.177325006052637</c:v>
                </c:pt>
                <c:pt idx="22">
                  <c:v>0.164942015468643</c:v>
                </c:pt>
                <c:pt idx="23">
                  <c:v>0.153287567737778</c:v>
                </c:pt>
                <c:pt idx="24">
                  <c:v>0.142416900277423</c:v>
                </c:pt>
                <c:pt idx="25">
                  <c:v>0.132335751529021</c:v>
                </c:pt>
                <c:pt idx="26">
                  <c:v>0.12302121775904</c:v>
                </c:pt>
                <c:pt idx="27">
                  <c:v>0.114434612757904</c:v>
                </c:pt>
                <c:pt idx="28">
                  <c:v>0.106529398312721</c:v>
                </c:pt>
                <c:pt idx="29">
                  <c:v>0.0992560447196669</c:v>
                </c:pt>
                <c:pt idx="30">
                  <c:v>0.0925649645938869</c:v>
                </c:pt>
                <c:pt idx="31">
                  <c:v>0.0864082319452064</c:v>
                </c:pt>
                <c:pt idx="32">
                  <c:v>0.0807405347031505</c:v>
                </c:pt>
                <c:pt idx="33">
                  <c:v>0.0755196453001381</c:v>
                </c:pt>
                <c:pt idx="34">
                  <c:v>0.070706591237563</c:v>
                </c:pt>
                <c:pt idx="35">
                  <c:v>0.0662656424061548</c:v>
                </c:pt>
                <c:pt idx="36">
                  <c:v>0.0621641902135686</c:v>
                </c:pt>
                <c:pt idx="37">
                  <c:v>0.0583725666588977</c:v>
                </c:pt>
                <c:pt idx="38">
                  <c:v>0.0548638340317501</c:v>
                </c:pt>
                <c:pt idx="39">
                  <c:v>0.0516135645401826</c:v>
                </c:pt>
                <c:pt idx="40">
                  <c:v>0.0485996217518911</c:v>
                </c:pt>
                <c:pt idx="41">
                  <c:v>0.0458019508969155</c:v>
                </c:pt>
                <c:pt idx="42">
                  <c:v>0.0432023819412824</c:v>
                </c:pt>
                <c:pt idx="43">
                  <c:v>0.0407844473211249</c:v>
                </c:pt>
                <c:pt idx="44">
                  <c:v>0.038533214946008</c:v>
                </c:pt>
                <c:pt idx="45">
                  <c:v>0.0364351362874485</c:v>
                </c:pt>
                <c:pt idx="46">
                  <c:v>0.0344779088973364</c:v>
                </c:pt>
                <c:pt idx="47">
                  <c:v>0.0326503524401874</c:v>
                </c:pt>
                <c:pt idx="48">
                  <c:v>0.0309422971988175</c:v>
                </c:pt>
                <c:pt idx="49">
                  <c:v>0.0293444839756906</c:v>
                </c:pt>
                <c:pt idx="50">
                  <c:v>0.0278484743288985</c:v>
                </c:pt>
                <c:pt idx="51">
                  <c:v>0.0264465701305904</c:v>
                </c:pt>
                <c:pt idx="52">
                  <c:v>0.0251317415022661</c:v>
                </c:pt>
                <c:pt idx="53">
                  <c:v>0.0238975622562631</c:v>
                </c:pt>
                <c:pt idx="54">
                  <c:v>0.0227381520500007</c:v>
                </c:pt>
                <c:pt idx="55">
                  <c:v>0.0216481245353245</c:v>
                </c:pt>
                <c:pt idx="56">
                  <c:v>0.0206225408574159</c:v>
                </c:pt>
                <c:pt idx="57">
                  <c:v>0.0196568679249471</c:v>
                </c:pt>
                <c:pt idx="58">
                  <c:v>0.0187469409349237</c:v>
                </c:pt>
                <c:pt idx="59">
                  <c:v>0.0178889296918092</c:v>
                </c:pt>
                <c:pt idx="60">
                  <c:v>0.0170793083112036</c:v>
                </c:pt>
                <c:pt idx="61">
                  <c:v>0.0163148279438108</c:v>
                </c:pt>
                <c:pt idx="62">
                  <c:v>0.0155924921960595</c:v>
                </c:pt>
                <c:pt idx="63">
                  <c:v>0.0149095349599291</c:v>
                </c:pt>
                <c:pt idx="64">
                  <c:v>0.0142634003966879</c:v>
                </c:pt>
                <c:pt idx="65">
                  <c:v>0.0136517248477862</c:v>
                </c:pt>
                <c:pt idx="66">
                  <c:v>0.0130723204714252</c:v>
                </c:pt>
                <c:pt idx="67">
                  <c:v>0.012523160425715</c:v>
                </c:pt>
                <c:pt idx="68">
                  <c:v>0.0120023654391451</c:v>
                </c:pt>
                <c:pt idx="69">
                  <c:v>0.0115081916266311</c:v>
                </c:pt>
                <c:pt idx="70">
                  <c:v>0.0110390194249142</c:v>
                </c:pt>
                <c:pt idx="71">
                  <c:v>0.0105933435348271</c:v>
                </c:pt>
                <c:pt idx="72">
                  <c:v>0.0101697637700995</c:v>
                </c:pt>
                <c:pt idx="73">
                  <c:v>0.00976697672314832</c:v>
                </c:pt>
                <c:pt idx="74">
                  <c:v>0.00938376816784466</c:v>
                </c:pt>
                <c:pt idx="75">
                  <c:v>0.0090190061277156</c:v>
                </c:pt>
                <c:pt idx="76">
                  <c:v>0.00867163454555104</c:v>
                </c:pt>
                <c:pt idx="77">
                  <c:v>0.00834066749705919</c:v>
                </c:pt>
                <c:pt idx="78">
                  <c:v>0.00802518389714266</c:v>
                </c:pt>
                <c:pt idx="79">
                  <c:v>0.00772432265264212</c:v>
                </c:pt>
                <c:pt idx="80">
                  <c:v>0.00743727822008904</c:v>
                </c:pt>
                <c:pt idx="81">
                  <c:v>0.00716329653119242</c:v>
                </c:pt>
                <c:pt idx="82">
                  <c:v>0.00690167125251408</c:v>
                </c:pt>
                <c:pt idx="83">
                  <c:v>0.00665174034911714</c:v>
                </c:pt>
                <c:pt idx="84">
                  <c:v>0.00641288292494509</c:v>
                </c:pt>
                <c:pt idx="85">
                  <c:v>0.006184516315349</c:v>
                </c:pt>
                <c:pt idx="86">
                  <c:v>0.0059660934095591</c:v>
                </c:pt>
                <c:pt idx="87">
                  <c:v>0.00575710018302891</c:v>
                </c:pt>
                <c:pt idx="88">
                  <c:v>0.00555705342149037</c:v>
                </c:pt>
                <c:pt idx="89">
                  <c:v>0.00536549862027344</c:v>
                </c:pt>
                <c:pt idx="90">
                  <c:v>0.00518200804398306</c:v>
                </c:pt>
                <c:pt idx="91">
                  <c:v>0.00500617893301081</c:v>
                </c:pt>
                <c:pt idx="92">
                  <c:v>0.00483763184460346</c:v>
                </c:pt>
                <c:pt idx="93">
                  <c:v>0.00467600911733267</c:v>
                </c:pt>
                <c:pt idx="94">
                  <c:v>0.00452097344881984</c:v>
                </c:pt>
                <c:pt idx="95">
                  <c:v>0.00437220657748234</c:v>
                </c:pt>
                <c:pt idx="96">
                  <c:v>0.00422940805989009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'Normal(m,s)'!$N$4</c:f>
              <c:strCache>
                <c:ptCount val="1"/>
                <c:pt idx="0">
                  <c:v>LogN(m=2;s=1)-PDF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'Normal(m,s)'!$N$5:$N$101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0.00295717268048477</c:v>
                </c:pt>
                <c:pt idx="12">
                  <c:v>0.0141927555408365</c:v>
                </c:pt>
                <c:pt idx="13">
                  <c:v>0.028432126285308</c:v>
                </c:pt>
                <c:pt idx="14">
                  <c:v>0.0421306992047938</c:v>
                </c:pt>
                <c:pt idx="15">
                  <c:v>0.0539909665131881</c:v>
                </c:pt>
                <c:pt idx="16">
                  <c:v>0.0637212261434946</c:v>
                </c:pt>
                <c:pt idx="17">
                  <c:v>0.0714274464390991</c:v>
                </c:pt>
                <c:pt idx="18">
                  <c:v>0.0773521729662171</c:v>
                </c:pt>
                <c:pt idx="19">
                  <c:v>0.0817656173098345</c:v>
                </c:pt>
                <c:pt idx="20">
                  <c:v>0.0849223593263469</c:v>
                </c:pt>
                <c:pt idx="21">
                  <c:v>0.0870464253974618</c:v>
                </c:pt>
                <c:pt idx="22">
                  <c:v>0.0883284919841357</c:v>
                </c:pt>
                <c:pt idx="23">
                  <c:v>0.0889280067990436</c:v>
                </c:pt>
                <c:pt idx="24">
                  <c:v>0.088977016146884</c:v>
                </c:pt>
                <c:pt idx="25">
                  <c:v>0.0885842922960999</c:v>
                </c:pt>
                <c:pt idx="26">
                  <c:v>0.0878391808647344</c:v>
                </c:pt>
                <c:pt idx="27">
                  <c:v>0.0868149658020617</c:v>
                </c:pt>
                <c:pt idx="28">
                  <c:v>0.0855717181417202</c:v>
                </c:pt>
                <c:pt idx="29">
                  <c:v>0.0841586651851962</c:v>
                </c:pt>
                <c:pt idx="30">
                  <c:v>0.0826161414958709</c:v>
                </c:pt>
                <c:pt idx="31">
                  <c:v>0.0809771870547216</c:v>
                </c:pt>
                <c:pt idx="32">
                  <c:v>0.0792688531306489</c:v>
                </c:pt>
                <c:pt idx="33">
                  <c:v>0.0775132685307933</c:v>
                </c:pt>
                <c:pt idx="34">
                  <c:v>0.0757285105266575</c:v>
                </c:pt>
                <c:pt idx="35">
                  <c:v>0.0739293170121196</c:v>
                </c:pt>
                <c:pt idx="36">
                  <c:v>0.0721276697328253</c:v>
                </c:pt>
                <c:pt idx="37">
                  <c:v>0.0703332727931237</c:v>
                </c:pt>
                <c:pt idx="38">
                  <c:v>0.0685539460136231</c:v>
                </c:pt>
                <c:pt idx="39">
                  <c:v>0.0667959489457572</c:v>
                </c:pt>
                <c:pt idx="40">
                  <c:v>0.0650642483079155</c:v>
                </c:pt>
                <c:pt idx="41">
                  <c:v>0.0633627391601835</c:v>
                </c:pt>
                <c:pt idx="42">
                  <c:v>0.0616944281686527</c:v>
                </c:pt>
                <c:pt idx="43">
                  <c:v>0.0600615857313634</c:v>
                </c:pt>
                <c:pt idx="44">
                  <c:v>0.0584658724691691</c:v>
                </c:pt>
                <c:pt idx="45">
                  <c:v>0.0569084445639378</c:v>
                </c:pt>
                <c:pt idx="46">
                  <c:v>0.0553900416036886</c:v>
                </c:pt>
                <c:pt idx="47">
                  <c:v>0.0539110599297246</c:v>
                </c:pt>
                <c:pt idx="48">
                  <c:v>0.0524716139429267</c:v>
                </c:pt>
                <c:pt idx="49">
                  <c:v>0.0510715873899573</c:v>
                </c:pt>
                <c:pt idx="50">
                  <c:v>0.0497106762951725</c:v>
                </c:pt>
                <c:pt idx="51">
                  <c:v>0.0483884249146457</c:v>
                </c:pt>
                <c:pt idx="52">
                  <c:v>0.0471042558521604</c:v>
                </c:pt>
                <c:pt idx="53">
                  <c:v>0.0458574952832147</c:v>
                </c:pt>
                <c:pt idx="54">
                  <c:v>0.0446473940738849</c:v>
                </c:pt>
                <c:pt idx="55">
                  <c:v>0.043473145450321</c:v>
                </c:pt>
                <c:pt idx="56">
                  <c:v>0.0423338997664812</c:v>
                </c:pt>
                <c:pt idx="57">
                  <c:v>0.0412287768282339</c:v>
                </c:pt>
                <c:pt idx="58">
                  <c:v>0.0401568761577856</c:v>
                </c:pt>
                <c:pt idx="59">
                  <c:v>0.0391172855207703</c:v>
                </c:pt>
                <c:pt idx="60">
                  <c:v>0.0381090879870326</c:v>
                </c:pt>
                <c:pt idx="61">
                  <c:v>0.037131367753345</c:v>
                </c:pt>
                <c:pt idx="62">
                  <c:v>0.036183214920527</c:v>
                </c:pt>
                <c:pt idx="63">
                  <c:v>0.0352637293874845</c:v>
                </c:pt>
                <c:pt idx="64">
                  <c:v>0.0343720239995608</c:v>
                </c:pt>
                <c:pt idx="65">
                  <c:v>0.033507227067477</c:v>
                </c:pt>
                <c:pt idx="66">
                  <c:v>0.0326684843553679</c:v>
                </c:pt>
                <c:pt idx="67">
                  <c:v>0.0318549606214386</c:v>
                </c:pt>
                <c:pt idx="68">
                  <c:v>0.0310658407821185</c:v>
                </c:pt>
                <c:pt idx="69">
                  <c:v>0.0303003307598943</c:v>
                </c:pt>
                <c:pt idx="70">
                  <c:v>0.0295576580659528</c:v>
                </c:pt>
                <c:pt idx="71">
                  <c:v>0.0288370721610864</c:v>
                </c:pt>
                <c:pt idx="72">
                  <c:v>0.0281378446318057</c:v>
                </c:pt>
                <c:pt idx="73">
                  <c:v>0.0274592692130661</c:v>
                </c:pt>
                <c:pt idx="74">
                  <c:v>0.0268006616843125</c:v>
                </c:pt>
                <c:pt idx="75">
                  <c:v>0.026161359661539</c:v>
                </c:pt>
                <c:pt idx="76">
                  <c:v>0.0255407223046465</c:v>
                </c:pt>
                <c:pt idx="77">
                  <c:v>0.0249381299564725</c:v>
                </c:pt>
                <c:pt idx="78">
                  <c:v>0.0243529837273845</c:v>
                </c:pt>
                <c:pt idx="79">
                  <c:v>0.023784705037206</c:v>
                </c:pt>
                <c:pt idx="80">
                  <c:v>0.0232327351244365</c:v>
                </c:pt>
                <c:pt idx="81">
                  <c:v>0.0226965345311783</c:v>
                </c:pt>
                <c:pt idx="82">
                  <c:v>0.02217558257086</c:v>
                </c:pt>
                <c:pt idx="83">
                  <c:v>0.0216693767847185</c:v>
                </c:pt>
                <c:pt idx="84">
                  <c:v>0.0211774323920307</c:v>
                </c:pt>
                <c:pt idx="85">
                  <c:v>0.0206992817382659</c:v>
                </c:pt>
                <c:pt idx="86">
                  <c:v>0.0202344737446183</c:v>
                </c:pt>
                <c:pt idx="87">
                  <c:v>0.0197825733617788</c:v>
                </c:pt>
                <c:pt idx="88">
                  <c:v>0.0193431610302922</c:v>
                </c:pt>
                <c:pt idx="89">
                  <c:v>0.0189158321494011</c:v>
                </c:pt>
                <c:pt idx="90">
                  <c:v>0.0185001965559103</c:v>
                </c:pt>
                <c:pt idx="91">
                  <c:v>0.0180958780142812</c:v>
                </c:pt>
                <c:pt idx="92">
                  <c:v>0.0177025137188984</c:v>
                </c:pt>
                <c:pt idx="93">
                  <c:v>0.0173197538092189</c:v>
                </c:pt>
                <c:pt idx="94">
                  <c:v>0.016947260898321</c:v>
                </c:pt>
                <c:pt idx="95">
                  <c:v>0.0165847096152061</c:v>
                </c:pt>
                <c:pt idx="96">
                  <c:v>0.0162317861610649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'Normal(m,s)'!$Q$4</c:f>
              <c:strCache>
                <c:ptCount val="1"/>
                <c:pt idx="0">
                  <c:v>LogN(m=2;s=2)-PDF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'Normal(m,s)'!$Q$5:$Q$101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0.195703786398156</c:v>
                </c:pt>
                <c:pt idx="12">
                  <c:v>0.172236122909814</c:v>
                </c:pt>
                <c:pt idx="13">
                  <c:v>0.151178993900371</c:v>
                </c:pt>
                <c:pt idx="14">
                  <c:v>0.13442645013327</c:v>
                </c:pt>
                <c:pt idx="15">
                  <c:v>0.120985362259572</c:v>
                </c:pt>
                <c:pt idx="16">
                  <c:v>0.109986061382795</c:v>
                </c:pt>
                <c:pt idx="17">
                  <c:v>0.100814455304556</c:v>
                </c:pt>
                <c:pt idx="18">
                  <c:v>0.0930423554254513</c:v>
                </c:pt>
                <c:pt idx="19">
                  <c:v>0.0863656120011074</c:v>
                </c:pt>
                <c:pt idx="20">
                  <c:v>0.0805629888143199</c:v>
                </c:pt>
                <c:pt idx="21">
                  <c:v>0.0754698137855164</c:v>
                </c:pt>
                <c:pt idx="22">
                  <c:v>0.0709609345336533</c:v>
                </c:pt>
                <c:pt idx="23">
                  <c:v>0.0669394565647647</c:v>
                </c:pt>
                <c:pt idx="24">
                  <c:v>0.0633291252964532</c:v>
                </c:pt>
                <c:pt idx="25">
                  <c:v>0.0600690540202723</c:v>
                </c:pt>
                <c:pt idx="26">
                  <c:v>0.0571099972498084</c:v>
                </c:pt>
                <c:pt idx="27">
                  <c:v>0.0544116650002245</c:v>
                </c:pt>
                <c:pt idx="28">
                  <c:v>0.0519407529638275</c:v>
                </c:pt>
                <c:pt idx="29">
                  <c:v>0.0496694745791162</c:v>
                </c:pt>
                <c:pt idx="30">
                  <c:v>0.0475744512025264</c:v>
                </c:pt>
                <c:pt idx="31">
                  <c:v>0.0456358619284053</c:v>
                </c:pt>
                <c:pt idx="32">
                  <c:v>0.0438367844607151</c:v>
                </c:pt>
                <c:pt idx="33">
                  <c:v>0.0421626784701338</c:v>
                </c:pt>
                <c:pt idx="34">
                  <c:v>0.0406009765396437</c:v>
                </c:pt>
                <c:pt idx="35">
                  <c:v>0.039140757279631</c:v>
                </c:pt>
                <c:pt idx="36">
                  <c:v>0.0377724818626512</c:v>
                </c:pt>
                <c:pt idx="37">
                  <c:v>0.0364877799852355</c:v>
                </c:pt>
                <c:pt idx="38">
                  <c:v>0.0352792747008173</c:v>
                </c:pt>
                <c:pt idx="39">
                  <c:v>0.0341404380800305</c:v>
                </c:pt>
                <c:pt idx="40">
                  <c:v>0.0330654715112808</c:v>
                </c:pt>
                <c:pt idx="41">
                  <c:v>0.0320492058408003</c:v>
                </c:pt>
                <c:pt idx="42">
                  <c:v>0.0310870175964903</c:v>
                </c:pt>
                <c:pt idx="43">
                  <c:v>0.0301747583348343</c:v>
                </c:pt>
                <c:pt idx="44">
                  <c:v>0.0293086947599991</c:v>
                </c:pt>
                <c:pt idx="45">
                  <c:v>0.0284854577357781</c:v>
                </c:pt>
                <c:pt idx="46">
                  <c:v>0.0277019986783679</c:v>
                </c:pt>
                <c:pt idx="47">
                  <c:v>0.02695555210615</c:v>
                </c:pt>
                <c:pt idx="48">
                  <c:v>0.0262436033502472</c:v>
                </c:pt>
                <c:pt idx="49">
                  <c:v>0.0255638606105046</c:v>
                </c:pt>
                <c:pt idx="50">
                  <c:v>0.0249142306861651</c:v>
                </c:pt>
                <c:pt idx="51">
                  <c:v>0.0242927978267863</c:v>
                </c:pt>
                <c:pt idx="52">
                  <c:v>0.0236978052429481</c:v>
                </c:pt>
                <c:pt idx="53">
                  <c:v>0.0231276388926749</c:v>
                </c:pt>
                <c:pt idx="54">
                  <c:v>0.0225808132218648</c:v>
                </c:pt>
                <c:pt idx="55">
                  <c:v>0.0220559585881702</c:v>
                </c:pt>
                <c:pt idx="56">
                  <c:v>0.0215518101399316</c:v>
                </c:pt>
                <c:pt idx="57">
                  <c:v>0.021067197956644</c:v>
                </c:pt>
                <c:pt idx="58">
                  <c:v>0.0206010382864122</c:v>
                </c:pt>
                <c:pt idx="59">
                  <c:v>0.0201523257400269</c:v>
                </c:pt>
                <c:pt idx="60">
                  <c:v>0.0197201263215226</c:v>
                </c:pt>
                <c:pt idx="61">
                  <c:v>0.0193035711920833</c:v>
                </c:pt>
                <c:pt idx="62">
                  <c:v>0.0189018510784922</c:v>
                </c:pt>
                <c:pt idx="63">
                  <c:v>0.0185142112494465</c:v>
                </c:pt>
                <c:pt idx="64">
                  <c:v>0.0181399469933414</c:v>
                </c:pt>
                <c:pt idx="65">
                  <c:v>0.0177783995398882</c:v>
                </c:pt>
                <c:pt idx="66">
                  <c:v>0.0174289523753983</c:v>
                </c:pt>
                <c:pt idx="67">
                  <c:v>0.0170910279079679</c:v>
                </c:pt>
                <c:pt idx="68">
                  <c:v>0.0167640844442855</c:v>
                </c:pt>
                <c:pt idx="69">
                  <c:v>0.0164476134445124</c:v>
                </c:pt>
                <c:pt idx="70">
                  <c:v>0.0161411370257644</c:v>
                </c:pt>
                <c:pt idx="71">
                  <c:v>0.0158442056882471</c:v>
                </c:pt>
                <c:pt idx="72">
                  <c:v>0.0155563962411595</c:v>
                </c:pt>
                <c:pt idx="73">
                  <c:v>0.0152773099081331</c:v>
                </c:pt>
                <c:pt idx="74">
                  <c:v>0.0150065705942911</c:v>
                </c:pt>
                <c:pt idx="75">
                  <c:v>0.0147438232990318</c:v>
                </c:pt>
                <c:pt idx="76">
                  <c:v>0.0144887326604048</c:v>
                </c:pt>
                <c:pt idx="77">
                  <c:v>0.0142409816184991</c:v>
                </c:pt>
                <c:pt idx="78">
                  <c:v>0.0140002701866222</c:v>
                </c:pt>
                <c:pt idx="79">
                  <c:v>0.0137663143202408</c:v>
                </c:pt>
                <c:pt idx="80">
                  <c:v>0.0135388448747149</c:v>
                </c:pt>
                <c:pt idx="81">
                  <c:v>0.0133176066437814</c:v>
                </c:pt>
                <c:pt idx="82">
                  <c:v>0.0131023574715714</c:v>
                </c:pt>
                <c:pt idx="83">
                  <c:v>0.0128928674316708</c:v>
                </c:pt>
                <c:pt idx="84">
                  <c:v>0.0126889180673865</c:v>
                </c:pt>
                <c:pt idx="85">
                  <c:v>0.0124903016879492</c:v>
                </c:pt>
                <c:pt idx="86">
                  <c:v>0.0122968207159032</c:v>
                </c:pt>
                <c:pt idx="87">
                  <c:v>0.0121082870813841</c:v>
                </c:pt>
                <c:pt idx="88">
                  <c:v>0.0119245216593989</c:v>
                </c:pt>
                <c:pt idx="89">
                  <c:v>0.0117453537465825</c:v>
                </c:pt>
                <c:pt idx="90">
                  <c:v>0.0115706205742359</c:v>
                </c:pt>
                <c:pt idx="91">
                  <c:v>0.0114001668547408</c:v>
                </c:pt>
                <c:pt idx="92">
                  <c:v>0.0112338443587103</c:v>
                </c:pt>
                <c:pt idx="93">
                  <c:v>0.0110715115204712</c:v>
                </c:pt>
                <c:pt idx="94">
                  <c:v>0.0109130330696867</c:v>
                </c:pt>
                <c:pt idx="95">
                  <c:v>0.010758279687119</c:v>
                </c:pt>
                <c:pt idx="96">
                  <c:v>0.0106071276827062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'Normal(m,s)'!$E$4</c:f>
              <c:strCache>
                <c:ptCount val="1"/>
                <c:pt idx="0">
                  <c:v>N(m=0;s=1)-PDF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'Normal(m,s)'!$E$5:$E$101</c:f>
              <c:numCache>
                <c:formatCode>0.000000</c:formatCode>
                <c:ptCount val="97"/>
                <c:pt idx="0">
                  <c:v>0.0539909665131881</c:v>
                </c:pt>
                <c:pt idx="1">
                  <c:v>0.0789501583008941</c:v>
                </c:pt>
                <c:pt idx="2">
                  <c:v>0.110920834679456</c:v>
                </c:pt>
                <c:pt idx="3">
                  <c:v>0.149727465635745</c:v>
                </c:pt>
                <c:pt idx="4">
                  <c:v>0.194186054983213</c:v>
                </c:pt>
                <c:pt idx="5">
                  <c:v>0.241970724519143</c:v>
                </c:pt>
                <c:pt idx="6">
                  <c:v>0.289691552761483</c:v>
                </c:pt>
                <c:pt idx="7">
                  <c:v>0.3332246028918</c:v>
                </c:pt>
                <c:pt idx="8">
                  <c:v>0.368270140303323</c:v>
                </c:pt>
                <c:pt idx="9">
                  <c:v>0.391042693975456</c:v>
                </c:pt>
                <c:pt idx="10">
                  <c:v>0.398942280401433</c:v>
                </c:pt>
                <c:pt idx="11">
                  <c:v>0.391042693975456</c:v>
                </c:pt>
                <c:pt idx="12">
                  <c:v>0.368270140303323</c:v>
                </c:pt>
                <c:pt idx="13">
                  <c:v>0.3332246028918</c:v>
                </c:pt>
                <c:pt idx="14">
                  <c:v>0.289691552761483</c:v>
                </c:pt>
                <c:pt idx="15">
                  <c:v>0.241970724519143</c:v>
                </c:pt>
                <c:pt idx="16">
                  <c:v>0.194186054983213</c:v>
                </c:pt>
                <c:pt idx="17">
                  <c:v>0.149727465635745</c:v>
                </c:pt>
                <c:pt idx="18">
                  <c:v>0.110920834679456</c:v>
                </c:pt>
                <c:pt idx="19">
                  <c:v>0.0789501583008942</c:v>
                </c:pt>
                <c:pt idx="20">
                  <c:v>0.0539909665131881</c:v>
                </c:pt>
                <c:pt idx="21">
                  <c:v>0.0354745928462315</c:v>
                </c:pt>
                <c:pt idx="22">
                  <c:v>0.0223945302948429</c:v>
                </c:pt>
                <c:pt idx="23">
                  <c:v>0.0135829692336856</c:v>
                </c:pt>
                <c:pt idx="24">
                  <c:v>0.00791545158297995</c:v>
                </c:pt>
                <c:pt idx="25">
                  <c:v>0.004431848411938</c:v>
                </c:pt>
                <c:pt idx="26">
                  <c:v>0.00238408820146484</c:v>
                </c:pt>
                <c:pt idx="27">
                  <c:v>0.00123221916847302</c:v>
                </c:pt>
                <c:pt idx="28">
                  <c:v>0.00061190193011377</c:v>
                </c:pt>
                <c:pt idx="29">
                  <c:v>0.000291946925791459</c:v>
                </c:pt>
                <c:pt idx="30">
                  <c:v>0.000133830225764885</c:v>
                </c:pt>
                <c:pt idx="31">
                  <c:v>5.89430677565396E-5</c:v>
                </c:pt>
                <c:pt idx="32">
                  <c:v>2.49424712900534E-5</c:v>
                </c:pt>
                <c:pt idx="33">
                  <c:v>1.01408520654867E-5</c:v>
                </c:pt>
                <c:pt idx="34">
                  <c:v>3.96129909103204E-6</c:v>
                </c:pt>
                <c:pt idx="35">
                  <c:v>1.48671951473428E-6</c:v>
                </c:pt>
                <c:pt idx="36">
                  <c:v>5.36103534469756E-7</c:v>
                </c:pt>
                <c:pt idx="37">
                  <c:v>1.85736184455527E-7</c:v>
                </c:pt>
                <c:pt idx="38">
                  <c:v>6.18262050016577E-8</c:v>
                </c:pt>
                <c:pt idx="39">
                  <c:v>1.97731964062444E-8</c:v>
                </c:pt>
                <c:pt idx="40">
                  <c:v>6.0758828498232E-9</c:v>
                </c:pt>
                <c:pt idx="41">
                  <c:v>1.79378390796405E-9</c:v>
                </c:pt>
                <c:pt idx="42">
                  <c:v>5.08814028164497E-10</c:v>
                </c:pt>
                <c:pt idx="43">
                  <c:v>1.38667999416528E-10</c:v>
                </c:pt>
                <c:pt idx="44">
                  <c:v>3.63096150179171E-11</c:v>
                </c:pt>
                <c:pt idx="45">
                  <c:v>9.13472040836436E-12</c:v>
                </c:pt>
                <c:pt idx="46">
                  <c:v>2.20798996313708E-12</c:v>
                </c:pt>
                <c:pt idx="47">
                  <c:v>5.12775363679653E-13</c:v>
                </c:pt>
                <c:pt idx="48">
                  <c:v>1.1441564901801E-13</c:v>
                </c:pt>
                <c:pt idx="49">
                  <c:v>2.45285528569634E-14</c:v>
                </c:pt>
                <c:pt idx="50">
                  <c:v>5.05227108353675E-15</c:v>
                </c:pt>
                <c:pt idx="51">
                  <c:v>9.99837874849689E-16</c:v>
                </c:pt>
                <c:pt idx="52">
                  <c:v>1.90108153790794E-16</c:v>
                </c:pt>
                <c:pt idx="53">
                  <c:v>3.47296274856616E-17</c:v>
                </c:pt>
                <c:pt idx="54">
                  <c:v>6.09575812956242E-18</c:v>
                </c:pt>
                <c:pt idx="55">
                  <c:v>1.02797735716689E-18</c:v>
                </c:pt>
                <c:pt idx="56">
                  <c:v>1.66558803237993E-19</c:v>
                </c:pt>
                <c:pt idx="57">
                  <c:v>2.59286470110043E-20</c:v>
                </c:pt>
                <c:pt idx="58">
                  <c:v>3.87811193174704E-21</c:v>
                </c:pt>
                <c:pt idx="59">
                  <c:v>5.57300002272089E-22</c:v>
                </c:pt>
                <c:pt idx="60">
                  <c:v>7.69459862670669E-23</c:v>
                </c:pt>
                <c:pt idx="61">
                  <c:v>1.02073055943065E-23</c:v>
                </c:pt>
                <c:pt idx="62">
                  <c:v>1.30096161992399E-24</c:v>
                </c:pt>
                <c:pt idx="63">
                  <c:v>1.59311113270106E-25</c:v>
                </c:pt>
                <c:pt idx="64">
                  <c:v>1.87437240234194E-26</c:v>
                </c:pt>
                <c:pt idx="65">
                  <c:v>2.11881925350952E-27</c:v>
                </c:pt>
                <c:pt idx="66">
                  <c:v>2.30123070884833E-28</c:v>
                </c:pt>
                <c:pt idx="67">
                  <c:v>2.40134540000877E-29</c:v>
                </c:pt>
                <c:pt idx="68">
                  <c:v>2.40756113183957E-30</c:v>
                </c:pt>
                <c:pt idx="69">
                  <c:v>2.31914677725641E-31</c:v>
                </c:pt>
                <c:pt idx="70">
                  <c:v>2.14638373566333E-32</c:v>
                </c:pt>
                <c:pt idx="71">
                  <c:v>1.90859913463706E-33</c:v>
                </c:pt>
                <c:pt idx="72">
                  <c:v>1.6306107348399E-34</c:v>
                </c:pt>
                <c:pt idx="73">
                  <c:v>1.3384867992545E-35</c:v>
                </c:pt>
                <c:pt idx="74">
                  <c:v>1.05561635024547E-36</c:v>
                </c:pt>
                <c:pt idx="75">
                  <c:v>7.99882775700829E-38</c:v>
                </c:pt>
                <c:pt idx="76">
                  <c:v>5.82337559973764E-39</c:v>
                </c:pt>
                <c:pt idx="77">
                  <c:v>4.07334767752871E-40</c:v>
                </c:pt>
                <c:pt idx="78">
                  <c:v>2.73751419235589E-41</c:v>
                </c:pt>
                <c:pt idx="79">
                  <c:v>1.76762241025393E-42</c:v>
                </c:pt>
                <c:pt idx="80">
                  <c:v>1.09660655938925E-43</c:v>
                </c:pt>
                <c:pt idx="81">
                  <c:v>6.53642677532033E-45</c:v>
                </c:pt>
                <c:pt idx="82">
                  <c:v>3.74333057988607E-46</c:v>
                </c:pt>
                <c:pt idx="83">
                  <c:v>2.05970102240952E-47</c:v>
                </c:pt>
                <c:pt idx="84">
                  <c:v>1.08887595532806E-48</c:v>
                </c:pt>
                <c:pt idx="85">
                  <c:v>5.53070954984614E-50</c:v>
                </c:pt>
                <c:pt idx="86">
                  <c:v>2.69905364438917E-51</c:v>
                </c:pt>
                <c:pt idx="87">
                  <c:v>1.26552404660522E-52</c:v>
                </c:pt>
                <c:pt idx="88">
                  <c:v>5.70108489094331E-54</c:v>
                </c:pt>
                <c:pt idx="89">
                  <c:v>2.46758905156654E-55</c:v>
                </c:pt>
                <c:pt idx="90">
                  <c:v>1.02616307279231E-56</c:v>
                </c:pt>
                <c:pt idx="91">
                  <c:v>4.10004053583496E-58</c:v>
                </c:pt>
                <c:pt idx="92">
                  <c:v>1.57393987977732E-59</c:v>
                </c:pt>
                <c:pt idx="93">
                  <c:v>5.80518880653153E-61</c:v>
                </c:pt>
                <c:pt idx="94">
                  <c:v>2.05718230302961E-62</c:v>
                </c:pt>
                <c:pt idx="95">
                  <c:v>7.00418213432196E-64</c:v>
                </c:pt>
                <c:pt idx="96">
                  <c:v>2.29123852370055E-65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60232"/>
        <c:axId val="2079357064"/>
      </c:scatterChart>
      <c:valAx>
        <c:axId val="207936023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079357064"/>
        <c:crosses val="autoZero"/>
        <c:crossBetween val="midCat"/>
      </c:valAx>
      <c:valAx>
        <c:axId val="2079357064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079360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319767441860465"/>
          <c:w val="0.723853484435941"/>
          <c:h val="0.9218721388024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'Normal(m,s)'!$I$4</c:f>
              <c:strCache>
                <c:ptCount val="1"/>
                <c:pt idx="0">
                  <c:v>LogN(m=0;s=1)-CDF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'Normal(m,s)'!$I$5:$I$101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0.053760310451663</c:v>
                </c:pt>
                <c:pt idx="12">
                  <c:v>0.179757213895785</c:v>
                </c:pt>
                <c:pt idx="13">
                  <c:v>0.304736582510231</c:v>
                </c:pt>
                <c:pt idx="14">
                  <c:v>0.411711891857455</c:v>
                </c:pt>
                <c:pt idx="15">
                  <c:v>0.5</c:v>
                </c:pt>
                <c:pt idx="16">
                  <c:v>0.572334808836768</c:v>
                </c:pt>
                <c:pt idx="17">
                  <c:v>0.631742607836675</c:v>
                </c:pt>
                <c:pt idx="18">
                  <c:v>0.680823787674827</c:v>
                </c:pt>
                <c:pt idx="19">
                  <c:v>0.721662252065084</c:v>
                </c:pt>
                <c:pt idx="20">
                  <c:v>0.755891404214417</c:v>
                </c:pt>
                <c:pt idx="21">
                  <c:v>0.784785384817143</c:v>
                </c:pt>
                <c:pt idx="22">
                  <c:v>0.809340543335114</c:v>
                </c:pt>
                <c:pt idx="23">
                  <c:v>0.830340439823572</c:v>
                </c:pt>
                <c:pt idx="24">
                  <c:v>0.848405651677334</c:v>
                </c:pt>
                <c:pt idx="25">
                  <c:v>0.864031392358575</c:v>
                </c:pt>
                <c:pt idx="26">
                  <c:v>0.877615839877453</c:v>
                </c:pt>
                <c:pt idx="27">
                  <c:v>0.889481522565263</c:v>
                </c:pt>
                <c:pt idx="28">
                  <c:v>0.899891548241091</c:v>
                </c:pt>
                <c:pt idx="29">
                  <c:v>0.909062001340873</c:v>
                </c:pt>
                <c:pt idx="30">
                  <c:v>0.917171480998302</c:v>
                </c:pt>
                <c:pt idx="31">
                  <c:v>0.92436849366537</c:v>
                </c:pt>
                <c:pt idx="32">
                  <c:v>0.930777224965305</c:v>
                </c:pt>
                <c:pt idx="33">
                  <c:v>0.936502078449514</c:v>
                </c:pt>
                <c:pt idx="34">
                  <c:v>0.941631269431952</c:v>
                </c:pt>
                <c:pt idx="35">
                  <c:v>0.946239689548337</c:v>
                </c:pt>
                <c:pt idx="36">
                  <c:v>0.950391204539266</c:v>
                </c:pt>
                <c:pt idx="37">
                  <c:v>0.954140508566694</c:v>
                </c:pt>
                <c:pt idx="38">
                  <c:v>0.957534629284702</c:v>
                </c:pt>
                <c:pt idx="39">
                  <c:v>0.960614156147606</c:v>
                </c:pt>
                <c:pt idx="40">
                  <c:v>0.963414248082957</c:v>
                </c:pt>
                <c:pt idx="41">
                  <c:v>0.965965464268342</c:v>
                </c:pt>
                <c:pt idx="42">
                  <c:v>0.968294452305292</c:v>
                </c:pt>
                <c:pt idx="43">
                  <c:v>0.970424520835767</c:v>
                </c:pt>
                <c:pt idx="44">
                  <c:v>0.972376118050883</c:v>
                </c:pt>
                <c:pt idx="45">
                  <c:v>0.974167233195408</c:v>
                </c:pt>
                <c:pt idx="46">
                  <c:v>0.975813734776584</c:v>
                </c:pt>
                <c:pt idx="47">
                  <c:v>0.977329656519251</c:v>
                </c:pt>
                <c:pt idx="48">
                  <c:v>0.978727440003533</c:v>
                </c:pt>
                <c:pt idx="49">
                  <c:v>0.980018141250211</c:v>
                </c:pt>
                <c:pt idx="50">
                  <c:v>0.981211607185945</c:v>
                </c:pt>
                <c:pt idx="51">
                  <c:v>0.982316626852482</c:v>
                </c:pt>
                <c:pt idx="52">
                  <c:v>0.983341061364204</c:v>
                </c:pt>
                <c:pt idx="53">
                  <c:v>0.984291955923309</c:v>
                </c:pt>
                <c:pt idx="54">
                  <c:v>0.985175636637617</c:v>
                </c:pt>
                <c:pt idx="55">
                  <c:v>0.985997794426055</c:v>
                </c:pt>
                <c:pt idx="56">
                  <c:v>0.98676355792049</c:v>
                </c:pt>
                <c:pt idx="57">
                  <c:v>0.987477556963474</c:v>
                </c:pt>
                <c:pt idx="58">
                  <c:v>0.988143978046664</c:v>
                </c:pt>
                <c:pt idx="59">
                  <c:v>0.988766612823933</c:v>
                </c:pt>
                <c:pt idx="60">
                  <c:v>0.9893489006583</c:v>
                </c:pt>
                <c:pt idx="61">
                  <c:v>0.989893966016171</c:v>
                </c:pt>
                <c:pt idx="62">
                  <c:v>0.990404651400815</c:v>
                </c:pt>
                <c:pt idx="63">
                  <c:v>0.990883546415083</c:v>
                </c:pt>
                <c:pt idx="64">
                  <c:v>0.991333013457854</c:v>
                </c:pt>
                <c:pt idx="65">
                  <c:v>0.991755210486549</c:v>
                </c:pt>
                <c:pt idx="66">
                  <c:v>0.99215211121719</c:v>
                </c:pt>
                <c:pt idx="67">
                  <c:v>0.992525523081882</c:v>
                </c:pt>
                <c:pt idx="68">
                  <c:v>0.992877103219802</c:v>
                </c:pt>
                <c:pt idx="69">
                  <c:v>0.993208372740493</c:v>
                </c:pt>
                <c:pt idx="70">
                  <c:v>0.993520729466473</c:v>
                </c:pt>
                <c:pt idx="71">
                  <c:v>0.993815459334928</c:v>
                </c:pt>
                <c:pt idx="72">
                  <c:v>0.994093746614979</c:v>
                </c:pt>
                <c:pt idx="73">
                  <c:v>0.994356683076946</c:v>
                </c:pt>
                <c:pt idx="74">
                  <c:v>0.994605276232827</c:v>
                </c:pt>
                <c:pt idx="75">
                  <c:v>0.9948404567523</c:v>
                </c:pt>
                <c:pt idx="76">
                  <c:v>0.995063085145721</c:v>
                </c:pt>
                <c:pt idx="77">
                  <c:v>0.995273957794463</c:v>
                </c:pt>
                <c:pt idx="78">
                  <c:v>0.995473812399253</c:v>
                </c:pt>
                <c:pt idx="79">
                  <c:v>0.9956633329088</c:v>
                </c:pt>
                <c:pt idx="80">
                  <c:v>0.995843153983677</c:v>
                </c:pt>
                <c:pt idx="81">
                  <c:v>0.996013865044041</c:v>
                </c:pt>
                <c:pt idx="82">
                  <c:v>0.996176013944207</c:v>
                </c:pt>
                <c:pt idx="83">
                  <c:v>0.99633011031222</c:v>
                </c:pt>
                <c:pt idx="84">
                  <c:v>0.996476628588268</c:v>
                </c:pt>
                <c:pt idx="85">
                  <c:v>0.996616010792066</c:v>
                </c:pt>
                <c:pt idx="86">
                  <c:v>0.996748669045986</c:v>
                </c:pt>
                <c:pt idx="87">
                  <c:v>0.996874987877846</c:v>
                </c:pt>
                <c:pt idx="88">
                  <c:v>0.996995326324692</c:v>
                </c:pt>
                <c:pt idx="89">
                  <c:v>0.997110019856616</c:v>
                </c:pt>
                <c:pt idx="90">
                  <c:v>0.99721938213769</c:v>
                </c:pt>
                <c:pt idx="91">
                  <c:v>0.997323706639302</c:v>
                </c:pt>
                <c:pt idx="92">
                  <c:v>0.997423268119586</c:v>
                </c:pt>
                <c:pt idx="93">
                  <c:v>0.99751832398129</c:v>
                </c:pt>
                <c:pt idx="94">
                  <c:v>0.99760911551913</c:v>
                </c:pt>
                <c:pt idx="95">
                  <c:v>0.99769586906661</c:v>
                </c:pt>
                <c:pt idx="96">
                  <c:v>0.997778797051276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'Normal(m,s)'!$L$4</c:f>
              <c:strCache>
                <c:ptCount val="1"/>
                <c:pt idx="0">
                  <c:v>LogN(m=1;s=1)-CDF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'Normal(m,s)'!$L$5:$L$101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0.00453455509082139</c:v>
                </c:pt>
                <c:pt idx="12">
                  <c:v>0.0276640499601587</c:v>
                </c:pt>
                <c:pt idx="13">
                  <c:v>0.0654164422179338</c:v>
                </c:pt>
                <c:pt idx="14">
                  <c:v>0.110637740883515</c:v>
                </c:pt>
                <c:pt idx="15">
                  <c:v>0.158655253931457</c:v>
                </c:pt>
                <c:pt idx="16">
                  <c:v>0.206770411343135</c:v>
                </c:pt>
                <c:pt idx="17">
                  <c:v>0.253496302168059</c:v>
                </c:pt>
                <c:pt idx="18">
                  <c:v>0.298057223538436</c:v>
                </c:pt>
                <c:pt idx="19">
                  <c:v>0.340091531942448</c:v>
                </c:pt>
                <c:pt idx="20">
                  <c:v>0.379477701120085</c:v>
                </c:pt>
                <c:pt idx="21">
                  <c:v>0.416231931668548</c:v>
                </c:pt>
                <c:pt idx="22">
                  <c:v>0.450447324508861</c:v>
                </c:pt>
                <c:pt idx="23">
                  <c:v>0.482257487377162</c:v>
                </c:pt>
                <c:pt idx="24">
                  <c:v>0.51181471028216</c:v>
                </c:pt>
                <c:pt idx="25">
                  <c:v>0.539276943682299</c:v>
                </c:pt>
                <c:pt idx="26">
                  <c:v>0.564800152373703</c:v>
                </c:pt>
                <c:pt idx="27">
                  <c:v>0.588533976034919</c:v>
                </c:pt>
                <c:pt idx="28">
                  <c:v>0.610619429668696</c:v>
                </c:pt>
                <c:pt idx="29">
                  <c:v>0.631187859233892</c:v>
                </c:pt>
                <c:pt idx="30">
                  <c:v>0.650360661899309</c:v>
                </c:pt>
                <c:pt idx="31">
                  <c:v>0.668249462304387</c:v>
                </c:pt>
                <c:pt idx="32">
                  <c:v>0.684956550106561</c:v>
                </c:pt>
                <c:pt idx="33">
                  <c:v>0.700575456094587</c:v>
                </c:pt>
                <c:pt idx="34">
                  <c:v>0.715191590016436</c:v>
                </c:pt>
                <c:pt idx="35">
                  <c:v>0.728882892653118</c:v>
                </c:pt>
                <c:pt idx="36">
                  <c:v>0.741720473546181</c:v>
                </c:pt>
                <c:pt idx="37">
                  <c:v>0.753769217911388</c:v>
                </c:pt>
                <c:pt idx="38">
                  <c:v>0.765088354027982</c:v>
                </c:pt>
                <c:pt idx="39">
                  <c:v>0.775731977310351</c:v>
                </c:pt>
                <c:pt idx="40">
                  <c:v>0.785749530335148</c:v>
                </c:pt>
                <c:pt idx="41">
                  <c:v>0.795186239955622</c:v>
                </c:pt>
                <c:pt idx="42">
                  <c:v>0.804083513708007</c:v>
                </c:pt>
                <c:pt idx="43">
                  <c:v>0.812479298279679</c:v>
                </c:pt>
                <c:pt idx="44">
                  <c:v>0.820408403048705</c:v>
                </c:pt>
                <c:pt idx="45">
                  <c:v>0.827902791740365</c:v>
                </c:pt>
                <c:pt idx="46">
                  <c:v>0.834991845157965</c:v>
                </c:pt>
                <c:pt idx="47">
                  <c:v>0.841702597785359</c:v>
                </c:pt>
                <c:pt idx="48">
                  <c:v>0.848059950861114</c:v>
                </c:pt>
                <c:pt idx="49">
                  <c:v>0.854086864311331</c:v>
                </c:pt>
                <c:pt idx="50">
                  <c:v>0.85980452971355</c:v>
                </c:pt>
                <c:pt idx="51">
                  <c:v>0.86523252625644</c:v>
                </c:pt>
                <c:pt idx="52">
                  <c:v>0.870388961464023</c:v>
                </c:pt>
                <c:pt idx="53">
                  <c:v>0.875290598271429</c:v>
                </c:pt>
                <c:pt idx="54">
                  <c:v>0.879952969872824</c:v>
                </c:pt>
                <c:pt idx="55">
                  <c:v>0.884390483611032</c:v>
                </c:pt>
                <c:pt idx="56">
                  <c:v>0.888616515042165</c:v>
                </c:pt>
                <c:pt idx="57">
                  <c:v>0.892643493186277</c:v>
                </c:pt>
                <c:pt idx="58">
                  <c:v>0.896482977865628</c:v>
                </c:pt>
                <c:pt idx="59">
                  <c:v>0.900145729934591</c:v>
                </c:pt>
                <c:pt idx="60">
                  <c:v>0.903641775118264</c:v>
                </c:pt>
                <c:pt idx="61">
                  <c:v>0.906980462099576</c:v>
                </c:pt>
                <c:pt idx="62">
                  <c:v>0.910170515425921</c:v>
                </c:pt>
                <c:pt idx="63">
                  <c:v>0.913220083745352</c:v>
                </c:pt>
                <c:pt idx="64">
                  <c:v>0.91613678382814</c:v>
                </c:pt>
                <c:pt idx="65">
                  <c:v>0.918927740781354</c:v>
                </c:pt>
                <c:pt idx="66">
                  <c:v>0.921599624821346</c:v>
                </c:pt>
                <c:pt idx="67">
                  <c:v>0.924158684931029</c:v>
                </c:pt>
                <c:pt idx="68">
                  <c:v>0.926610779695012</c:v>
                </c:pt>
                <c:pt idx="69">
                  <c:v>0.928961405575619</c:v>
                </c:pt>
                <c:pt idx="70">
                  <c:v>0.931215722866037</c:v>
                </c:pt>
                <c:pt idx="71">
                  <c:v>0.933378579532992</c:v>
                </c:pt>
                <c:pt idx="72">
                  <c:v>0.935454533140122</c:v>
                </c:pt>
                <c:pt idx="73">
                  <c:v>0.937447871024211</c:v>
                </c:pt>
                <c:pt idx="74">
                  <c:v>0.93936262887954</c:v>
                </c:pt>
                <c:pt idx="75">
                  <c:v>0.941202607890462</c:v>
                </c:pt>
                <c:pt idx="76">
                  <c:v>0.94297139053877</c:v>
                </c:pt>
                <c:pt idx="77">
                  <c:v>0.944672355200291</c:v>
                </c:pt>
                <c:pt idx="78">
                  <c:v>0.94630868963429</c:v>
                </c:pt>
                <c:pt idx="79">
                  <c:v>0.947883403459496</c:v>
                </c:pt>
                <c:pt idx="80">
                  <c:v>0.949399339701842</c:v>
                </c:pt>
                <c:pt idx="81">
                  <c:v>0.950859185491112</c:v>
                </c:pt>
                <c:pt idx="82">
                  <c:v>0.952265481976632</c:v>
                </c:pt>
                <c:pt idx="83">
                  <c:v>0.953620633525783</c:v>
                </c:pt>
                <c:pt idx="84">
                  <c:v>0.95492691626333</c:v>
                </c:pt>
                <c:pt idx="85">
                  <c:v>0.956186486004446</c:v>
                </c:pt>
                <c:pt idx="86">
                  <c:v>0.957401385629582</c:v>
                </c:pt>
                <c:pt idx="87">
                  <c:v>0.958573551945133</c:v>
                </c:pt>
                <c:pt idx="88">
                  <c:v>0.959704822070036</c:v>
                </c:pt>
                <c:pt idx="89">
                  <c:v>0.960796939384968</c:v>
                </c:pt>
                <c:pt idx="90">
                  <c:v>0.961851559077674</c:v>
                </c:pt>
                <c:pt idx="91">
                  <c:v>0.962870253315134</c:v>
                </c:pt>
                <c:pt idx="92">
                  <c:v>0.963854516070677</c:v>
                </c:pt>
                <c:pt idx="93">
                  <c:v>0.964805767631836</c:v>
                </c:pt>
                <c:pt idx="94">
                  <c:v>0.965725358812573</c:v>
                </c:pt>
                <c:pt idx="95">
                  <c:v>0.966614574891603</c:v>
                </c:pt>
                <c:pt idx="96">
                  <c:v>0.967474639296762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'Normal(m,s)'!$O$4</c:f>
              <c:strCache>
                <c:ptCount val="1"/>
                <c:pt idx="0">
                  <c:v>LogN(m=2;s=1)-CDF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'Normal(m,s)'!$O$5:$O$101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0.000153430603554544</c:v>
                </c:pt>
                <c:pt idx="12">
                  <c:v>0.00177110128982167</c:v>
                </c:pt>
                <c:pt idx="13">
                  <c:v>0.00602245892980475</c:v>
                </c:pt>
                <c:pt idx="14">
                  <c:v>0.0131030608805273</c:v>
                </c:pt>
                <c:pt idx="15">
                  <c:v>0.0227501319481792</c:v>
                </c:pt>
                <c:pt idx="16">
                  <c:v>0.0345566471967122</c:v>
                </c:pt>
                <c:pt idx="17">
                  <c:v>0.0481034190687315</c:v>
                </c:pt>
                <c:pt idx="18">
                  <c:v>0.0630088136308015</c:v>
                </c:pt>
                <c:pt idx="19">
                  <c:v>0.0789435776044638</c:v>
                </c:pt>
                <c:pt idx="20">
                  <c:v>0.0956313511789798</c:v>
                </c:pt>
                <c:pt idx="21">
                  <c:v>0.112843751539149</c:v>
                </c:pt>
                <c:pt idx="22">
                  <c:v>0.130393857821802</c:v>
                </c:pt>
                <c:pt idx="23">
                  <c:v>0.148129705822525</c:v>
                </c:pt>
                <c:pt idx="24">
                  <c:v>0.16592841180914</c:v>
                </c:pt>
                <c:pt idx="25">
                  <c:v>0.183691106437945</c:v>
                </c:pt>
                <c:pt idx="26">
                  <c:v>0.20133867177571</c:v>
                </c:pt>
                <c:pt idx="27">
                  <c:v>0.218808201109406</c:v>
                </c:pt>
                <c:pt idx="28">
                  <c:v>0.236050079909822</c:v>
                </c:pt>
                <c:pt idx="29">
                  <c:v>0.253025587681542</c:v>
                </c:pt>
                <c:pt idx="30">
                  <c:v>0.26970493073491</c:v>
                </c:pt>
                <c:pt idx="31">
                  <c:v>0.286065628808307</c:v>
                </c:pt>
                <c:pt idx="32">
                  <c:v>0.302091191145384</c:v>
                </c:pt>
                <c:pt idx="33">
                  <c:v>0.317770028977197</c:v>
                </c:pt>
                <c:pt idx="34">
                  <c:v>0.333094561051041</c:v>
                </c:pt>
                <c:pt idx="35">
                  <c:v>0.348060476917756</c:v>
                </c:pt>
                <c:pt idx="36">
                  <c:v>0.362666129310623</c:v>
                </c:pt>
                <c:pt idx="37">
                  <c:v>0.376912032335934</c:v>
                </c:pt>
                <c:pt idx="38">
                  <c:v>0.390800446557614</c:v>
                </c:pt>
                <c:pt idx="39">
                  <c:v>0.404335035582962</c:v>
                </c:pt>
                <c:pt idx="40">
                  <c:v>0.417520581602749</c:v>
                </c:pt>
                <c:pt idx="41">
                  <c:v>0.430362749638158</c:v>
                </c:pt>
                <c:pt idx="42">
                  <c:v>0.442867892106647</c:v>
                </c:pt>
                <c:pt idx="43">
                  <c:v>0.455042886825399</c:v>
                </c:pt>
                <c:pt idx="44">
                  <c:v>0.466895002793906</c:v>
                </c:pt>
                <c:pt idx="45">
                  <c:v>0.478431789092148</c:v>
                </c:pt>
                <c:pt idx="46">
                  <c:v>0.489660983042083</c:v>
                </c:pt>
                <c:pt idx="47">
                  <c:v>0.500590434443274</c:v>
                </c:pt>
                <c:pt idx="48">
                  <c:v>0.511228043236817</c:v>
                </c:pt>
                <c:pt idx="49">
                  <c:v>0.521581708398024</c:v>
                </c:pt>
                <c:pt idx="50">
                  <c:v>0.531659286225738</c:v>
                </c:pt>
                <c:pt idx="51">
                  <c:v>0.541468556499427</c:v>
                </c:pt>
                <c:pt idx="52">
                  <c:v>0.551017195226004</c:v>
                </c:pt>
                <c:pt idx="53">
                  <c:v>0.560312752906307</c:v>
                </c:pt>
                <c:pt idx="54">
                  <c:v>0.569362637423922</c:v>
                </c:pt>
                <c:pt idx="55">
                  <c:v>0.578174100802873</c:v>
                </c:pt>
                <c:pt idx="56">
                  <c:v>0.586754229200708</c:v>
                </c:pt>
                <c:pt idx="57">
                  <c:v>0.595109935603789</c:v>
                </c:pt>
                <c:pt idx="58">
                  <c:v>0.603247954775594</c:v>
                </c:pt>
                <c:pt idx="59">
                  <c:v>0.611174840079241</c:v>
                </c:pt>
                <c:pt idx="60">
                  <c:v>0.618896961854674</c:v>
                </c:pt>
                <c:pt idx="61">
                  <c:v>0.626420507080705</c:v>
                </c:pt>
                <c:pt idx="62">
                  <c:v>0.6337514800941</c:v>
                </c:pt>
                <c:pt idx="63">
                  <c:v>0.640895704173298</c:v>
                </c:pt>
                <c:pt idx="64">
                  <c:v>0.647858823824261</c:v>
                </c:pt>
                <c:pt idx="65">
                  <c:v>0.654646307631275</c:v>
                </c:pt>
                <c:pt idx="66">
                  <c:v>0.661263451556942</c:v>
                </c:pt>
                <c:pt idx="67">
                  <c:v>0.667715382593755</c:v>
                </c:pt>
                <c:pt idx="68">
                  <c:v>0.674007062685075</c:v>
                </c:pt>
                <c:pt idx="69">
                  <c:v>0.680143292846375</c:v>
                </c:pt>
                <c:pt idx="70">
                  <c:v>0.686128717428759</c:v>
                </c:pt>
                <c:pt idx="71">
                  <c:v>0.691967828476153</c:v>
                </c:pt>
                <c:pt idx="72">
                  <c:v>0.697664970135647</c:v>
                </c:pt>
                <c:pt idx="73">
                  <c:v>0.703224343087229</c:v>
                </c:pt>
                <c:pt idx="74">
                  <c:v>0.708650008964991</c:v>
                </c:pt>
                <c:pt idx="75">
                  <c:v>0.713945894746793</c:v>
                </c:pt>
                <c:pt idx="76">
                  <c:v>0.719115797093578</c:v>
                </c:pt>
                <c:pt idx="77">
                  <c:v>0.724163386623071</c:v>
                </c:pt>
                <c:pt idx="78">
                  <c:v>0.729092212105632</c:v>
                </c:pt>
                <c:pt idx="79">
                  <c:v>0.733905704572571</c:v>
                </c:pt>
                <c:pt idx="80">
                  <c:v>0.73860718132944</c:v>
                </c:pt>
                <c:pt idx="81">
                  <c:v>0.743199849868596</c:v>
                </c:pt>
                <c:pt idx="82">
                  <c:v>0.747686811676933</c:v>
                </c:pt>
                <c:pt idx="83">
                  <c:v>0.752071065935934</c:v>
                </c:pt>
                <c:pt idx="84">
                  <c:v>0.756355513112326</c:v>
                </c:pt>
                <c:pt idx="85">
                  <c:v>0.760542958438507</c:v>
                </c:pt>
                <c:pt idx="86">
                  <c:v>0.764636115282688</c:v>
                </c:pt>
                <c:pt idx="87">
                  <c:v>0.768637608409322</c:v>
                </c:pt>
                <c:pt idx="88">
                  <c:v>0.772549977130917</c:v>
                </c:pt>
                <c:pt idx="89">
                  <c:v>0.776375678352731</c:v>
                </c:pt>
                <c:pt idx="90">
                  <c:v>0.780117089512224</c:v>
                </c:pt>
                <c:pt idx="91">
                  <c:v>0.783776511415379</c:v>
                </c:pt>
                <c:pt idx="92">
                  <c:v>0.787356170972256</c:v>
                </c:pt>
                <c:pt idx="93">
                  <c:v>0.790858223834269</c:v>
                </c:pt>
                <c:pt idx="94">
                  <c:v>0.79428475693583</c:v>
                </c:pt>
                <c:pt idx="95">
                  <c:v>0.797637790943071</c:v>
                </c:pt>
                <c:pt idx="96">
                  <c:v>0.80091928261242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'Normal(m,s)'!$R$4</c:f>
              <c:strCache>
                <c:ptCount val="1"/>
                <c:pt idx="0">
                  <c:v>LogN(m=2;s=2)-CDF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'Normal(m,s)'!$R$5:$R$101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0.0355593359707925</c:v>
                </c:pt>
                <c:pt idx="12">
                  <c:v>0.0724002395727607</c:v>
                </c:pt>
                <c:pt idx="13">
                  <c:v>0.104664470393634</c:v>
                </c:pt>
                <c:pt idx="14">
                  <c:v>0.133161156734547</c:v>
                </c:pt>
                <c:pt idx="15">
                  <c:v>0.158655253931457</c:v>
                </c:pt>
                <c:pt idx="16">
                  <c:v>0.181717499921984</c:v>
                </c:pt>
                <c:pt idx="17">
                  <c:v>0.202771117297339</c:v>
                </c:pt>
                <c:pt idx="18">
                  <c:v>0.222136312589663</c:v>
                </c:pt>
                <c:pt idx="19">
                  <c:v>0.240060902807534</c:v>
                </c:pt>
                <c:pt idx="20">
                  <c:v>0.256740708751594</c:v>
                </c:pt>
                <c:pt idx="21">
                  <c:v>0.272333308530631</c:v>
                </c:pt>
                <c:pt idx="22">
                  <c:v>0.286967525453682</c:v>
                </c:pt>
                <c:pt idx="23">
                  <c:v>0.300750130497905</c:v>
                </c:pt>
                <c:pt idx="24">
                  <c:v>0.313770684106179</c:v>
                </c:pt>
                <c:pt idx="25">
                  <c:v>0.326105105681666</c:v>
                </c:pt>
                <c:pt idx="26">
                  <c:v>0.337818353631957</c:v>
                </c:pt>
                <c:pt idx="27">
                  <c:v>0.348966470822621</c:v>
                </c:pt>
                <c:pt idx="28">
                  <c:v>0.359598168810894</c:v>
                </c:pt>
                <c:pt idx="29">
                  <c:v>0.369756071190408</c:v>
                </c:pt>
                <c:pt idx="30">
                  <c:v>0.379477701120085</c:v>
                </c:pt>
                <c:pt idx="31">
                  <c:v>0.388796274207383</c:v>
                </c:pt>
                <c:pt idx="32">
                  <c:v>0.39774134141337</c:v>
                </c:pt>
                <c:pt idx="33">
                  <c:v>0.406339315060701</c:v>
                </c:pt>
                <c:pt idx="34">
                  <c:v>0.41461390276418</c:v>
                </c:pt>
                <c:pt idx="35">
                  <c:v>0.422586468128502</c:v>
                </c:pt>
                <c:pt idx="36">
                  <c:v>0.430276332679032</c:v>
                </c:pt>
                <c:pt idx="37">
                  <c:v>0.437701030243488</c:v>
                </c:pt>
                <c:pt idx="38">
                  <c:v>0.444876522565751</c:v>
                </c:pt>
                <c:pt idx="39">
                  <c:v>0.451817383085891</c:v>
                </c:pt>
                <c:pt idx="40">
                  <c:v>0.45853695440666</c:v>
                </c:pt>
                <c:pt idx="41">
                  <c:v>0.465047483874443</c:v>
                </c:pt>
                <c:pt idx="42">
                  <c:v>0.471360240851937</c:v>
                </c:pt>
                <c:pt idx="43">
                  <c:v>0.47748561859167</c:v>
                </c:pt>
                <c:pt idx="44">
                  <c:v>0.483433223091022</c:v>
                </c:pt>
                <c:pt idx="45">
                  <c:v>0.489211950888325</c:v>
                </c:pt>
                <c:pt idx="46">
                  <c:v>0.49483005742203</c:v>
                </c:pt>
                <c:pt idx="47">
                  <c:v>0.500295217302467</c:v>
                </c:pt>
                <c:pt idx="48">
                  <c:v>0.505614577624615</c:v>
                </c:pt>
                <c:pt idx="49">
                  <c:v>0.5107948052698</c:v>
                </c:pt>
                <c:pt idx="50">
                  <c:v>0.51584212899621</c:v>
                </c:pt>
                <c:pt idx="51">
                  <c:v>0.52076237699595</c:v>
                </c:pt>
                <c:pt idx="52">
                  <c:v>0.525561010495259</c:v>
                </c:pt>
                <c:pt idx="53">
                  <c:v>0.530243153890281</c:v>
                </c:pt>
                <c:pt idx="54">
                  <c:v>0.534813621840428</c:v>
                </c:pt>
                <c:pt idx="55">
                  <c:v>0.539276943682299</c:v>
                </c:pt>
                <c:pt idx="56">
                  <c:v>0.543637385477391</c:v>
                </c:pt>
                <c:pt idx="57">
                  <c:v>0.547898969964702</c:v>
                </c:pt>
                <c:pt idx="58">
                  <c:v>0.552065494653667</c:v>
                </c:pt>
                <c:pt idx="59">
                  <c:v>0.556140548262398</c:v>
                </c:pt>
                <c:pt idx="60">
                  <c:v>0.560127525680246</c:v>
                </c:pt>
                <c:pt idx="61">
                  <c:v>0.564029641611393</c:v>
                </c:pt>
                <c:pt idx="62">
                  <c:v>0.567849943037064</c:v>
                </c:pt>
                <c:pt idx="63">
                  <c:v>0.571591320617389</c:v>
                </c:pt>
                <c:pt idx="64">
                  <c:v>0.575256519139717</c:v>
                </c:pt>
                <c:pt idx="65">
                  <c:v>0.578848147107758</c:v>
                </c:pt>
                <c:pt idx="66">
                  <c:v>0.582368685555193</c:v>
                </c:pt>
                <c:pt idx="67">
                  <c:v>0.58582049615802</c:v>
                </c:pt>
                <c:pt idx="68">
                  <c:v>0.589205828711688</c:v>
                </c:pt>
                <c:pt idx="69">
                  <c:v>0.592526828031927</c:v>
                </c:pt>
                <c:pt idx="70">
                  <c:v>0.595785540331873</c:v>
                </c:pt>
                <c:pt idx="71">
                  <c:v>0.598983919122564</c:v>
                </c:pt>
                <c:pt idx="72">
                  <c:v>0.602123830678989</c:v>
                </c:pt>
                <c:pt idx="73">
                  <c:v>0.6052070591096</c:v>
                </c:pt>
                <c:pt idx="74">
                  <c:v>0.608235311063347</c:v>
                </c:pt>
                <c:pt idx="75">
                  <c:v>0.611210220104946</c:v>
                </c:pt>
                <c:pt idx="76">
                  <c:v>0.614133350786092</c:v>
                </c:pt>
                <c:pt idx="77">
                  <c:v>0.617006202437641</c:v>
                </c:pt>
                <c:pt idx="78">
                  <c:v>0.619830212705423</c:v>
                </c:pt>
                <c:pt idx="79">
                  <c:v>0.622606760850233</c:v>
                </c:pt>
                <c:pt idx="80">
                  <c:v>0.625337170830622</c:v>
                </c:pt>
                <c:pt idx="81">
                  <c:v>0.628022714185442</c:v>
                </c:pt>
                <c:pt idx="82">
                  <c:v>0.630664612731556</c:v>
                </c:pt>
                <c:pt idx="83">
                  <c:v>0.633264041090751</c:v>
                </c:pt>
                <c:pt idx="84">
                  <c:v>0.635822129058688</c:v>
                </c:pt>
                <c:pt idx="85">
                  <c:v>0.638339963827567</c:v>
                </c:pt>
                <c:pt idx="86">
                  <c:v>0.640818592073244</c:v>
                </c:pt>
                <c:pt idx="87">
                  <c:v>0.643259021916563</c:v>
                </c:pt>
                <c:pt idx="88">
                  <c:v>0.645662224767928</c:v>
                </c:pt>
                <c:pt idx="89">
                  <c:v>0.64802913706331</c:v>
                </c:pt>
                <c:pt idx="90">
                  <c:v>0.650360661899309</c:v>
                </c:pt>
                <c:pt idx="91">
                  <c:v>0.652657670574184</c:v>
                </c:pt>
                <c:pt idx="92">
                  <c:v>0.654921004041301</c:v>
                </c:pt>
                <c:pt idx="93">
                  <c:v>0.657151474280871</c:v>
                </c:pt>
                <c:pt idx="94">
                  <c:v>0.659349865595435</c:v>
                </c:pt>
                <c:pt idx="95">
                  <c:v>0.661516935834123</c:v>
                </c:pt>
                <c:pt idx="96">
                  <c:v>0.663653417550324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'Normal(m,s)'!$F$4</c:f>
              <c:strCache>
                <c:ptCount val="1"/>
                <c:pt idx="0">
                  <c:v>N(m=0;s=1)-CDF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'Normal(m,s)'!$F$5:$F$101</c:f>
              <c:numCache>
                <c:formatCode>0.000000</c:formatCode>
                <c:ptCount val="97"/>
                <c:pt idx="0">
                  <c:v>0.0227501319481792</c:v>
                </c:pt>
                <c:pt idx="1">
                  <c:v>0.0359303191129258</c:v>
                </c:pt>
                <c:pt idx="2">
                  <c:v>0.054799291699558</c:v>
                </c:pt>
                <c:pt idx="3">
                  <c:v>0.080756659233771</c:v>
                </c:pt>
                <c:pt idx="4">
                  <c:v>0.115069670221708</c:v>
                </c:pt>
                <c:pt idx="5">
                  <c:v>0.158655253931457</c:v>
                </c:pt>
                <c:pt idx="6">
                  <c:v>0.211855398583397</c:v>
                </c:pt>
                <c:pt idx="7">
                  <c:v>0.274253117750073</c:v>
                </c:pt>
                <c:pt idx="8">
                  <c:v>0.344578258389676</c:v>
                </c:pt>
                <c:pt idx="9">
                  <c:v>0.420740290560897</c:v>
                </c:pt>
                <c:pt idx="10">
                  <c:v>0.5</c:v>
                </c:pt>
                <c:pt idx="11">
                  <c:v>0.579259709439103</c:v>
                </c:pt>
                <c:pt idx="12">
                  <c:v>0.655421741610324</c:v>
                </c:pt>
                <c:pt idx="13">
                  <c:v>0.725746882249926</c:v>
                </c:pt>
                <c:pt idx="14">
                  <c:v>0.788144601416603</c:v>
                </c:pt>
                <c:pt idx="15">
                  <c:v>0.841344746068543</c:v>
                </c:pt>
                <c:pt idx="16">
                  <c:v>0.884930329778292</c:v>
                </c:pt>
                <c:pt idx="17">
                  <c:v>0.919243340766229</c:v>
                </c:pt>
                <c:pt idx="18">
                  <c:v>0.945200708300442</c:v>
                </c:pt>
                <c:pt idx="19">
                  <c:v>0.964069680887074</c:v>
                </c:pt>
                <c:pt idx="20">
                  <c:v>0.977249868051821</c:v>
                </c:pt>
                <c:pt idx="21">
                  <c:v>0.986096552486501</c:v>
                </c:pt>
                <c:pt idx="22">
                  <c:v>0.991802464075404</c:v>
                </c:pt>
                <c:pt idx="23">
                  <c:v>0.995338811976281</c:v>
                </c:pt>
                <c:pt idx="24">
                  <c:v>0.997444869669572</c:v>
                </c:pt>
                <c:pt idx="25">
                  <c:v>0.99865010196837</c:v>
                </c:pt>
                <c:pt idx="26">
                  <c:v>0.999312862062084</c:v>
                </c:pt>
                <c:pt idx="27">
                  <c:v>0.999663070734323</c:v>
                </c:pt>
                <c:pt idx="28">
                  <c:v>0.999840891409842</c:v>
                </c:pt>
                <c:pt idx="29">
                  <c:v>0.999927651956075</c:v>
                </c:pt>
                <c:pt idx="30">
                  <c:v>0.999968328758167</c:v>
                </c:pt>
                <c:pt idx="31">
                  <c:v>0.999986654250984</c:v>
                </c:pt>
                <c:pt idx="32">
                  <c:v>0.999994587456092</c:v>
                </c:pt>
                <c:pt idx="33">
                  <c:v>0.999997887545297</c:v>
                </c:pt>
                <c:pt idx="34">
                  <c:v>0.999999206671848</c:v>
                </c:pt>
                <c:pt idx="35">
                  <c:v>0.999999713348428</c:v>
                </c:pt>
                <c:pt idx="36">
                  <c:v>0.999999900355737</c:v>
                </c:pt>
                <c:pt idx="37">
                  <c:v>0.999999966679551</c:v>
                </c:pt>
                <c:pt idx="38">
                  <c:v>0.99999998928241</c:v>
                </c:pt>
                <c:pt idx="39">
                  <c:v>0.999999996684254</c:v>
                </c:pt>
                <c:pt idx="40">
                  <c:v>0.999999999013412</c:v>
                </c:pt>
                <c:pt idx="41">
                  <c:v>0.999999999717684</c:v>
                </c:pt>
                <c:pt idx="42">
                  <c:v>0.999999999922311</c:v>
                </c:pt>
                <c:pt idx="43">
                  <c:v>0.999999999979442</c:v>
                </c:pt>
                <c:pt idx="44">
                  <c:v>0.999999999994769</c:v>
                </c:pt>
                <c:pt idx="45">
                  <c:v>0.99999999999872</c:v>
                </c:pt>
                <c:pt idx="46">
                  <c:v>0.999999999999699</c:v>
                </c:pt>
                <c:pt idx="47">
                  <c:v>0.999999999999932</c:v>
                </c:pt>
                <c:pt idx="48">
                  <c:v>0.999999999999985</c:v>
                </c:pt>
                <c:pt idx="49">
                  <c:v>0.999999999999997</c:v>
                </c:pt>
                <c:pt idx="50">
                  <c:v>0.999999999999999</c:v>
                </c:pt>
                <c:pt idx="51">
                  <c:v>1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1.0</c:v>
                </c:pt>
                <c:pt idx="59">
                  <c:v>1.0</c:v>
                </c:pt>
                <c:pt idx="60">
                  <c:v>1.0</c:v>
                </c:pt>
                <c:pt idx="61">
                  <c:v>1.0</c:v>
                </c:pt>
                <c:pt idx="62">
                  <c:v>1.0</c:v>
                </c:pt>
                <c:pt idx="63">
                  <c:v>1.0</c:v>
                </c:pt>
                <c:pt idx="64">
                  <c:v>1.0</c:v>
                </c:pt>
                <c:pt idx="65">
                  <c:v>1.0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595352"/>
        <c:axId val="-2130592216"/>
      </c:scatterChart>
      <c:valAx>
        <c:axId val="-213059535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-2130592216"/>
        <c:crosses val="autoZero"/>
        <c:crossBetween val="midCat"/>
      </c:valAx>
      <c:valAx>
        <c:axId val="-213059221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-2130595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</xdr:row>
      <xdr:rowOff>38100</xdr:rowOff>
    </xdr:from>
    <xdr:to>
      <xdr:col>28</xdr:col>
      <xdr:colOff>0</xdr:colOff>
      <xdr:row>22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114300</xdr:colOff>
      <xdr:row>23</xdr:row>
      <xdr:rowOff>139700</xdr:rowOff>
    </xdr:from>
    <xdr:to>
      <xdr:col>28</xdr:col>
      <xdr:colOff>12700</xdr:colOff>
      <xdr:row>46</xdr:row>
      <xdr:rowOff>127000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101"/>
  <sheetViews>
    <sheetView tabSelected="1" workbookViewId="0">
      <selection activeCell="Q16" sqref="Q16"/>
    </sheetView>
  </sheetViews>
  <sheetFormatPr baseColWidth="10" defaultRowHeight="15" x14ac:dyDescent="0"/>
  <cols>
    <col min="1" max="1" width="2.1640625" customWidth="1"/>
    <col min="4" max="4" width="2.5" customWidth="1"/>
    <col min="7" max="7" width="2.5" customWidth="1"/>
    <col min="10" max="10" width="2.1640625" customWidth="1"/>
    <col min="13" max="13" width="2.1640625" customWidth="1"/>
    <col min="16" max="16" width="2.1640625" customWidth="1"/>
  </cols>
  <sheetData>
    <row r="2" spans="2:18">
      <c r="C2" t="s">
        <v>0</v>
      </c>
      <c r="E2" s="3">
        <v>0</v>
      </c>
      <c r="H2" s="3">
        <v>0</v>
      </c>
      <c r="K2" s="3">
        <v>1</v>
      </c>
      <c r="N2" s="3">
        <v>2</v>
      </c>
      <c r="Q2" s="3">
        <v>2</v>
      </c>
    </row>
    <row r="3" spans="2:18">
      <c r="C3" t="s">
        <v>1</v>
      </c>
      <c r="E3" s="3">
        <v>1</v>
      </c>
      <c r="H3" s="3">
        <v>1</v>
      </c>
      <c r="K3" s="3">
        <v>1</v>
      </c>
      <c r="N3" s="3">
        <v>1</v>
      </c>
      <c r="Q3" s="3">
        <v>2</v>
      </c>
    </row>
    <row r="4" spans="2:18">
      <c r="B4" s="1"/>
      <c r="C4" s="1"/>
      <c r="E4" s="1" t="str">
        <f>"N(m="&amp;E2&amp;";s="&amp;E3&amp;")-PDF"</f>
        <v>N(m=0;s=1)-PDF</v>
      </c>
      <c r="F4" s="1" t="str">
        <f>"N(m="&amp;E2&amp;";s="&amp;E3&amp;")-CDF"</f>
        <v>N(m=0;s=1)-CDF</v>
      </c>
      <c r="H4" s="1" t="str">
        <f>"LogN(m="&amp;H2&amp;";s="&amp;H3&amp;")-PDF"</f>
        <v>LogN(m=0;s=1)-PDF</v>
      </c>
      <c r="I4" s="1" t="str">
        <f>"LogN(m="&amp;H2&amp;";s="&amp;H3&amp;")-CDF"</f>
        <v>LogN(m=0;s=1)-CDF</v>
      </c>
      <c r="K4" s="1" t="str">
        <f>"LogN(m="&amp;K2&amp;";s="&amp;K3&amp;")-PDF"</f>
        <v>LogN(m=1;s=1)-PDF</v>
      </c>
      <c r="L4" s="1" t="str">
        <f>"LogN(m="&amp;K2&amp;";s="&amp;K3&amp;")-CDF"</f>
        <v>LogN(m=1;s=1)-CDF</v>
      </c>
      <c r="N4" s="1" t="str">
        <f>"LogN(m="&amp;N2&amp;";s="&amp;N3&amp;")-PDF"</f>
        <v>LogN(m=2;s=1)-PDF</v>
      </c>
      <c r="O4" s="1" t="str">
        <f>"LogN(m="&amp;N2&amp;";s="&amp;N3&amp;")-CDF"</f>
        <v>LogN(m=2;s=1)-CDF</v>
      </c>
      <c r="Q4" s="1" t="str">
        <f>"LogN(m="&amp;Q2&amp;";s="&amp;Q3&amp;")-PDF"</f>
        <v>LogN(m=2;s=2)-PDF</v>
      </c>
      <c r="R4" s="1" t="str">
        <f>"LogN(m="&amp;Q2&amp;";s="&amp;Q3&amp;")-CDF"</f>
        <v>LogN(m=2;s=2)-CDF</v>
      </c>
    </row>
    <row r="5" spans="2:18">
      <c r="B5">
        <v>1</v>
      </c>
      <c r="C5" s="4">
        <v>-2</v>
      </c>
      <c r="E5" s="6">
        <f t="shared" ref="E5:E36" si="0">_xlfn.NORM.DIST($C5,E$2,E$3,0)</f>
        <v>5.3990966513188063E-2</v>
      </c>
      <c r="F5" s="6">
        <f t="shared" ref="F5:F36" si="1">_xlfn.NORM.DIST($C5,E$2,E$3,1)</f>
        <v>2.2750131948179191E-2</v>
      </c>
      <c r="G5" s="6"/>
      <c r="H5" s="6" t="e">
        <f>_xlfn.LOGNORM.DIST($C5,H$2,H$3,0)</f>
        <v>#NUM!</v>
      </c>
      <c r="I5" s="6" t="e">
        <f>_xlfn.LOGNORM.DIST($C5,H$2,H$3,1)</f>
        <v>#NUM!</v>
      </c>
      <c r="J5" s="6"/>
      <c r="K5" s="6" t="e">
        <f>_xlfn.LOGNORM.DIST($C5,K$2,K$3,0)</f>
        <v>#NUM!</v>
      </c>
      <c r="L5" s="6" t="e">
        <f>_xlfn.LOGNORM.DIST($C5,K$2,K$3,1)</f>
        <v>#NUM!</v>
      </c>
      <c r="M5" s="6"/>
      <c r="N5" s="6" t="e">
        <f>_xlfn.LOGNORM.DIST($C5,N$2,N$3,0)</f>
        <v>#NUM!</v>
      </c>
      <c r="O5" s="6" t="e">
        <f>_xlfn.LOGNORM.DIST($C5,N$2,N$3,1)</f>
        <v>#NUM!</v>
      </c>
      <c r="P5" s="6"/>
      <c r="Q5" s="6" t="e">
        <f>_xlfn.LOGNORM.DIST($C5,Q$2,Q$3,0)</f>
        <v>#NUM!</v>
      </c>
      <c r="R5" s="6" t="e">
        <f>_xlfn.LOGNORM.DIST($C5,Q$2,Q$3,1)</f>
        <v>#NUM!</v>
      </c>
    </row>
    <row r="6" spans="2:18">
      <c r="B6" s="2">
        <f t="shared" ref="B6:B11" si="2">B5+1</f>
        <v>2</v>
      </c>
      <c r="C6" s="5">
        <f t="shared" ref="C6:C11" si="3">C5+0.2</f>
        <v>-1.8</v>
      </c>
      <c r="D6" s="2"/>
      <c r="E6" s="7">
        <f t="shared" si="0"/>
        <v>7.8950158300894149E-2</v>
      </c>
      <c r="F6" s="7">
        <f t="shared" si="1"/>
        <v>3.5930319112925789E-2</v>
      </c>
      <c r="G6" s="7"/>
      <c r="H6" s="7" t="e">
        <f t="shared" ref="H6:H69" si="4">_xlfn.LOGNORM.DIST($C6,H$2,H$3,0)</f>
        <v>#NUM!</v>
      </c>
      <c r="I6" s="7" t="e">
        <f t="shared" ref="I6:I69" si="5">_xlfn.LOGNORM.DIST($C6,H$2,H$3,1)</f>
        <v>#NUM!</v>
      </c>
      <c r="J6" s="7"/>
      <c r="K6" s="7" t="e">
        <f t="shared" ref="K6:K69" si="6">_xlfn.LOGNORM.DIST($C6,K$2,K$3,0)</f>
        <v>#NUM!</v>
      </c>
      <c r="L6" s="7" t="e">
        <f t="shared" ref="L6:L69" si="7">_xlfn.LOGNORM.DIST($C6,K$2,K$3,1)</f>
        <v>#NUM!</v>
      </c>
      <c r="M6" s="7"/>
      <c r="N6" s="7" t="e">
        <f t="shared" ref="N6:N69" si="8">_xlfn.LOGNORM.DIST($C6,N$2,N$3,0)</f>
        <v>#NUM!</v>
      </c>
      <c r="O6" s="7" t="e">
        <f t="shared" ref="O6:O69" si="9">_xlfn.LOGNORM.DIST($C6,N$2,N$3,1)</f>
        <v>#NUM!</v>
      </c>
      <c r="P6" s="7"/>
      <c r="Q6" s="7" t="e">
        <f t="shared" ref="Q6:Q69" si="10">_xlfn.LOGNORM.DIST($C6,Q$2,Q$3,0)</f>
        <v>#NUM!</v>
      </c>
      <c r="R6" s="7" t="e">
        <f t="shared" ref="R6:R69" si="11">_xlfn.LOGNORM.DIST($C6,Q$2,Q$3,1)</f>
        <v>#NUM!</v>
      </c>
    </row>
    <row r="7" spans="2:18">
      <c r="B7">
        <f t="shared" si="2"/>
        <v>3</v>
      </c>
      <c r="C7" s="4">
        <f t="shared" si="3"/>
        <v>-1.6</v>
      </c>
      <c r="E7" s="6">
        <f t="shared" si="0"/>
        <v>0.11092083467945554</v>
      </c>
      <c r="F7" s="6">
        <f t="shared" si="1"/>
        <v>5.4799291699557967E-2</v>
      </c>
      <c r="G7" s="6"/>
      <c r="H7" s="6" t="e">
        <f t="shared" si="4"/>
        <v>#NUM!</v>
      </c>
      <c r="I7" s="6" t="e">
        <f t="shared" si="5"/>
        <v>#NUM!</v>
      </c>
      <c r="J7" s="6"/>
      <c r="K7" s="6" t="e">
        <f t="shared" si="6"/>
        <v>#NUM!</v>
      </c>
      <c r="L7" s="6" t="e">
        <f t="shared" si="7"/>
        <v>#NUM!</v>
      </c>
      <c r="M7" s="6"/>
      <c r="N7" s="6" t="e">
        <f t="shared" si="8"/>
        <v>#NUM!</v>
      </c>
      <c r="O7" s="6" t="e">
        <f t="shared" si="9"/>
        <v>#NUM!</v>
      </c>
      <c r="P7" s="6"/>
      <c r="Q7" s="6" t="e">
        <f t="shared" si="10"/>
        <v>#NUM!</v>
      </c>
      <c r="R7" s="6" t="e">
        <f t="shared" si="11"/>
        <v>#NUM!</v>
      </c>
    </row>
    <row r="8" spans="2:18">
      <c r="B8">
        <f t="shared" si="2"/>
        <v>4</v>
      </c>
      <c r="C8" s="4">
        <f t="shared" si="3"/>
        <v>-1.4000000000000001</v>
      </c>
      <c r="E8" s="6">
        <f t="shared" si="0"/>
        <v>0.14972746563574482</v>
      </c>
      <c r="F8" s="6">
        <f t="shared" si="1"/>
        <v>8.0756659233771025E-2</v>
      </c>
      <c r="G8" s="6"/>
      <c r="H8" s="6" t="e">
        <f t="shared" si="4"/>
        <v>#NUM!</v>
      </c>
      <c r="I8" s="6" t="e">
        <f t="shared" si="5"/>
        <v>#NUM!</v>
      </c>
      <c r="J8" s="6"/>
      <c r="K8" s="6" t="e">
        <f t="shared" si="6"/>
        <v>#NUM!</v>
      </c>
      <c r="L8" s="6" t="e">
        <f t="shared" si="7"/>
        <v>#NUM!</v>
      </c>
      <c r="M8" s="6"/>
      <c r="N8" s="6" t="e">
        <f t="shared" si="8"/>
        <v>#NUM!</v>
      </c>
      <c r="O8" s="6" t="e">
        <f t="shared" si="9"/>
        <v>#NUM!</v>
      </c>
      <c r="P8" s="6"/>
      <c r="Q8" s="6" t="e">
        <f t="shared" si="10"/>
        <v>#NUM!</v>
      </c>
      <c r="R8" s="6" t="e">
        <f t="shared" si="11"/>
        <v>#NUM!</v>
      </c>
    </row>
    <row r="9" spans="2:18">
      <c r="B9">
        <f t="shared" si="2"/>
        <v>5</v>
      </c>
      <c r="C9" s="4">
        <f t="shared" si="3"/>
        <v>-1.2000000000000002</v>
      </c>
      <c r="E9" s="6">
        <f t="shared" si="0"/>
        <v>0.19418605498321292</v>
      </c>
      <c r="F9" s="6">
        <f t="shared" si="1"/>
        <v>0.11506967022170821</v>
      </c>
      <c r="G9" s="6"/>
      <c r="H9" s="6" t="e">
        <f t="shared" si="4"/>
        <v>#NUM!</v>
      </c>
      <c r="I9" s="6" t="e">
        <f t="shared" si="5"/>
        <v>#NUM!</v>
      </c>
      <c r="J9" s="6"/>
      <c r="K9" s="6" t="e">
        <f t="shared" si="6"/>
        <v>#NUM!</v>
      </c>
      <c r="L9" s="6" t="e">
        <f t="shared" si="7"/>
        <v>#NUM!</v>
      </c>
      <c r="M9" s="6"/>
      <c r="N9" s="6" t="e">
        <f t="shared" si="8"/>
        <v>#NUM!</v>
      </c>
      <c r="O9" s="6" t="e">
        <f t="shared" si="9"/>
        <v>#NUM!</v>
      </c>
      <c r="P9" s="6"/>
      <c r="Q9" s="6" t="e">
        <f t="shared" si="10"/>
        <v>#NUM!</v>
      </c>
      <c r="R9" s="6" t="e">
        <f t="shared" si="11"/>
        <v>#NUM!</v>
      </c>
    </row>
    <row r="10" spans="2:18">
      <c r="B10">
        <f t="shared" si="2"/>
        <v>6</v>
      </c>
      <c r="C10" s="4">
        <f t="shared" si="3"/>
        <v>-1.0000000000000002</v>
      </c>
      <c r="E10" s="6">
        <f t="shared" si="0"/>
        <v>0.24197072451914331</v>
      </c>
      <c r="F10" s="6">
        <f t="shared" si="1"/>
        <v>0.15865525393145699</v>
      </c>
      <c r="G10" s="6"/>
      <c r="H10" s="6" t="e">
        <f t="shared" si="4"/>
        <v>#NUM!</v>
      </c>
      <c r="I10" s="6" t="e">
        <f t="shared" si="5"/>
        <v>#NUM!</v>
      </c>
      <c r="J10" s="6"/>
      <c r="K10" s="6" t="e">
        <f t="shared" si="6"/>
        <v>#NUM!</v>
      </c>
      <c r="L10" s="6" t="e">
        <f t="shared" si="7"/>
        <v>#NUM!</v>
      </c>
      <c r="M10" s="6"/>
      <c r="N10" s="6" t="e">
        <f t="shared" si="8"/>
        <v>#NUM!</v>
      </c>
      <c r="O10" s="6" t="e">
        <f t="shared" si="9"/>
        <v>#NUM!</v>
      </c>
      <c r="P10" s="6"/>
      <c r="Q10" s="6" t="e">
        <f t="shared" si="10"/>
        <v>#NUM!</v>
      </c>
      <c r="R10" s="6" t="e">
        <f t="shared" si="11"/>
        <v>#NUM!</v>
      </c>
    </row>
    <row r="11" spans="2:18">
      <c r="B11" s="2">
        <f t="shared" si="2"/>
        <v>7</v>
      </c>
      <c r="C11" s="5">
        <f t="shared" si="3"/>
        <v>-0.80000000000000027</v>
      </c>
      <c r="D11" s="2"/>
      <c r="E11" s="7">
        <f t="shared" si="0"/>
        <v>0.28969155276148267</v>
      </c>
      <c r="F11" s="7">
        <f t="shared" si="1"/>
        <v>0.21185539858339658</v>
      </c>
      <c r="G11" s="7"/>
      <c r="H11" s="7" t="e">
        <f t="shared" si="4"/>
        <v>#NUM!</v>
      </c>
      <c r="I11" s="7" t="e">
        <f t="shared" si="5"/>
        <v>#NUM!</v>
      </c>
      <c r="J11" s="7"/>
      <c r="K11" s="7" t="e">
        <f t="shared" si="6"/>
        <v>#NUM!</v>
      </c>
      <c r="L11" s="7" t="e">
        <f t="shared" si="7"/>
        <v>#NUM!</v>
      </c>
      <c r="M11" s="7"/>
      <c r="N11" s="7" t="e">
        <f t="shared" si="8"/>
        <v>#NUM!</v>
      </c>
      <c r="O11" s="7" t="e">
        <f t="shared" si="9"/>
        <v>#NUM!</v>
      </c>
      <c r="P11" s="7"/>
      <c r="Q11" s="7" t="e">
        <f t="shared" si="10"/>
        <v>#NUM!</v>
      </c>
      <c r="R11" s="7" t="e">
        <f t="shared" si="11"/>
        <v>#NUM!</v>
      </c>
    </row>
    <row r="12" spans="2:18">
      <c r="B12">
        <f t="shared" ref="B12:B51" si="12">B11+1</f>
        <v>8</v>
      </c>
      <c r="C12" s="4">
        <f t="shared" ref="C12:C17" si="13">C11+0.2</f>
        <v>-0.60000000000000031</v>
      </c>
      <c r="E12" s="6">
        <f t="shared" si="0"/>
        <v>0.33322460289179962</v>
      </c>
      <c r="F12" s="6">
        <f t="shared" si="1"/>
        <v>0.27425311775007344</v>
      </c>
      <c r="G12" s="6"/>
      <c r="H12" s="6" t="e">
        <f t="shared" si="4"/>
        <v>#NUM!</v>
      </c>
      <c r="I12" s="6" t="e">
        <f t="shared" si="5"/>
        <v>#NUM!</v>
      </c>
      <c r="J12" s="6"/>
      <c r="K12" s="6" t="e">
        <f t="shared" si="6"/>
        <v>#NUM!</v>
      </c>
      <c r="L12" s="6" t="e">
        <f t="shared" si="7"/>
        <v>#NUM!</v>
      </c>
      <c r="M12" s="6"/>
      <c r="N12" s="6" t="e">
        <f t="shared" si="8"/>
        <v>#NUM!</v>
      </c>
      <c r="O12" s="6" t="e">
        <f t="shared" si="9"/>
        <v>#NUM!</v>
      </c>
      <c r="P12" s="6"/>
      <c r="Q12" s="6" t="e">
        <f t="shared" si="10"/>
        <v>#NUM!</v>
      </c>
      <c r="R12" s="6" t="e">
        <f t="shared" si="11"/>
        <v>#NUM!</v>
      </c>
    </row>
    <row r="13" spans="2:18">
      <c r="B13">
        <f t="shared" si="12"/>
        <v>9</v>
      </c>
      <c r="C13" s="4">
        <f t="shared" si="13"/>
        <v>-0.4000000000000003</v>
      </c>
      <c r="E13" s="8">
        <f t="shared" si="0"/>
        <v>0.36827014030332328</v>
      </c>
      <c r="F13" s="8">
        <f t="shared" si="1"/>
        <v>0.34457825838967571</v>
      </c>
      <c r="G13" s="8"/>
      <c r="H13" s="8" t="e">
        <f t="shared" si="4"/>
        <v>#NUM!</v>
      </c>
      <c r="I13" s="8" t="e">
        <f t="shared" si="5"/>
        <v>#NUM!</v>
      </c>
      <c r="J13" s="8"/>
      <c r="K13" s="8" t="e">
        <f t="shared" si="6"/>
        <v>#NUM!</v>
      </c>
      <c r="L13" s="8" t="e">
        <f t="shared" si="7"/>
        <v>#NUM!</v>
      </c>
      <c r="M13" s="8"/>
      <c r="N13" s="8" t="e">
        <f t="shared" si="8"/>
        <v>#NUM!</v>
      </c>
      <c r="O13" s="8" t="e">
        <f t="shared" si="9"/>
        <v>#NUM!</v>
      </c>
      <c r="P13" s="8"/>
      <c r="Q13" s="8" t="e">
        <f t="shared" si="10"/>
        <v>#NUM!</v>
      </c>
      <c r="R13" s="8" t="e">
        <f t="shared" si="11"/>
        <v>#NUM!</v>
      </c>
    </row>
    <row r="14" spans="2:18">
      <c r="B14">
        <f t="shared" si="12"/>
        <v>10</v>
      </c>
      <c r="C14" s="4">
        <f t="shared" si="13"/>
        <v>-0.20000000000000029</v>
      </c>
      <c r="E14" s="8">
        <f t="shared" si="0"/>
        <v>0.39104269397545588</v>
      </c>
      <c r="F14" s="8">
        <f t="shared" si="1"/>
        <v>0.42074029056089685</v>
      </c>
      <c r="G14" s="8"/>
      <c r="H14" s="8" t="e">
        <f t="shared" si="4"/>
        <v>#NUM!</v>
      </c>
      <c r="I14" s="8" t="e">
        <f t="shared" si="5"/>
        <v>#NUM!</v>
      </c>
      <c r="J14" s="8"/>
      <c r="K14" s="8" t="e">
        <f t="shared" si="6"/>
        <v>#NUM!</v>
      </c>
      <c r="L14" s="8" t="e">
        <f t="shared" si="7"/>
        <v>#NUM!</v>
      </c>
      <c r="M14" s="8"/>
      <c r="N14" s="8" t="e">
        <f t="shared" si="8"/>
        <v>#NUM!</v>
      </c>
      <c r="O14" s="8" t="e">
        <f t="shared" si="9"/>
        <v>#NUM!</v>
      </c>
      <c r="P14" s="8"/>
      <c r="Q14" s="8" t="e">
        <f t="shared" si="10"/>
        <v>#NUM!</v>
      </c>
      <c r="R14" s="8" t="e">
        <f t="shared" si="11"/>
        <v>#NUM!</v>
      </c>
    </row>
    <row r="15" spans="2:18">
      <c r="B15">
        <f t="shared" si="12"/>
        <v>11</v>
      </c>
      <c r="C15" s="4">
        <f t="shared" si="13"/>
        <v>-2.7755575615628914E-16</v>
      </c>
      <c r="E15" s="8">
        <f t="shared" si="0"/>
        <v>0.3989422804014327</v>
      </c>
      <c r="F15" s="8">
        <f t="shared" si="1"/>
        <v>0.49999999999999989</v>
      </c>
      <c r="G15" s="8"/>
      <c r="H15" s="8" t="e">
        <f t="shared" si="4"/>
        <v>#NUM!</v>
      </c>
      <c r="I15" s="8" t="e">
        <f t="shared" si="5"/>
        <v>#NUM!</v>
      </c>
      <c r="J15" s="8"/>
      <c r="K15" s="8" t="e">
        <f t="shared" si="6"/>
        <v>#NUM!</v>
      </c>
      <c r="L15" s="8" t="e">
        <f t="shared" si="7"/>
        <v>#NUM!</v>
      </c>
      <c r="M15" s="8"/>
      <c r="N15" s="8" t="e">
        <f t="shared" si="8"/>
        <v>#NUM!</v>
      </c>
      <c r="O15" s="8" t="e">
        <f t="shared" si="9"/>
        <v>#NUM!</v>
      </c>
      <c r="P15" s="8"/>
      <c r="Q15" s="8" t="e">
        <f t="shared" si="10"/>
        <v>#NUM!</v>
      </c>
      <c r="R15" s="8" t="e">
        <f t="shared" si="11"/>
        <v>#NUM!</v>
      </c>
    </row>
    <row r="16" spans="2:18">
      <c r="B16" s="2">
        <f t="shared" si="12"/>
        <v>12</v>
      </c>
      <c r="C16" s="5">
        <f t="shared" si="13"/>
        <v>0.19999999999999973</v>
      </c>
      <c r="D16" s="2"/>
      <c r="E16" s="9">
        <f t="shared" si="0"/>
        <v>0.39104269397545594</v>
      </c>
      <c r="F16" s="9">
        <f t="shared" si="1"/>
        <v>0.57925970943910299</v>
      </c>
      <c r="G16" s="9"/>
      <c r="H16" s="9">
        <f t="shared" si="4"/>
        <v>0.54626787075817962</v>
      </c>
      <c r="I16" s="9">
        <f t="shared" si="5"/>
        <v>5.3760310451662977E-2</v>
      </c>
      <c r="J16" s="9"/>
      <c r="K16" s="9">
        <f t="shared" si="6"/>
        <v>6.6265642406154721E-2</v>
      </c>
      <c r="L16" s="9">
        <f t="shared" si="7"/>
        <v>4.5345550908213912E-3</v>
      </c>
      <c r="M16" s="9"/>
      <c r="N16" s="9">
        <f t="shared" si="8"/>
        <v>2.9571726804847745E-3</v>
      </c>
      <c r="O16" s="9">
        <f t="shared" si="9"/>
        <v>1.5343060355454394E-4</v>
      </c>
      <c r="P16" s="9"/>
      <c r="Q16" s="9">
        <f t="shared" si="10"/>
        <v>0.19570378639815555</v>
      </c>
      <c r="R16" s="9">
        <f t="shared" si="11"/>
        <v>3.5559335970792541E-2</v>
      </c>
    </row>
    <row r="17" spans="2:18">
      <c r="B17">
        <f t="shared" si="12"/>
        <v>13</v>
      </c>
      <c r="C17" s="4">
        <f t="shared" si="13"/>
        <v>0.39999999999999974</v>
      </c>
      <c r="E17" s="8">
        <f t="shared" si="0"/>
        <v>0.36827014030332339</v>
      </c>
      <c r="F17" s="8">
        <f t="shared" si="1"/>
        <v>0.65542174161032407</v>
      </c>
      <c r="G17" s="8"/>
      <c r="H17" s="8">
        <f t="shared" si="4"/>
        <v>0.65544416806031147</v>
      </c>
      <c r="I17" s="8">
        <f t="shared" si="5"/>
        <v>0.1797572138957852</v>
      </c>
      <c r="J17" s="8"/>
      <c r="K17" s="8">
        <f t="shared" si="6"/>
        <v>0.1590187934633675</v>
      </c>
      <c r="L17" s="8">
        <f t="shared" si="7"/>
        <v>2.7664049960158681E-2</v>
      </c>
      <c r="M17" s="8"/>
      <c r="N17" s="8">
        <f t="shared" si="8"/>
        <v>1.4192755540836509E-2</v>
      </c>
      <c r="O17" s="8">
        <f t="shared" si="9"/>
        <v>1.7711012898216688E-3</v>
      </c>
      <c r="P17" s="8"/>
      <c r="Q17" s="8">
        <f t="shared" si="10"/>
        <v>0.17223612290981394</v>
      </c>
      <c r="R17" s="8">
        <f t="shared" si="11"/>
        <v>7.2400239572760733E-2</v>
      </c>
    </row>
    <row r="18" spans="2:18">
      <c r="B18">
        <f t="shared" si="12"/>
        <v>14</v>
      </c>
      <c r="C18" s="4">
        <f t="shared" ref="C18:C51" si="14">C17+0.2</f>
        <v>0.59999999999999976</v>
      </c>
      <c r="E18" s="8">
        <f t="shared" si="0"/>
        <v>0.33322460289179967</v>
      </c>
      <c r="F18" s="8">
        <f t="shared" si="1"/>
        <v>0.72574688224992645</v>
      </c>
      <c r="G18" s="8"/>
      <c r="H18" s="8">
        <f t="shared" si="4"/>
        <v>0.58357382259450397</v>
      </c>
      <c r="I18" s="8">
        <f t="shared" si="5"/>
        <v>0.3047365825102315</v>
      </c>
      <c r="J18" s="8"/>
      <c r="K18" s="8">
        <f t="shared" si="6"/>
        <v>0.21237324936556065</v>
      </c>
      <c r="L18" s="8">
        <f t="shared" si="7"/>
        <v>6.5416442217933829E-2</v>
      </c>
      <c r="M18" s="8"/>
      <c r="N18" s="8">
        <f t="shared" si="8"/>
        <v>2.8432126285307974E-2</v>
      </c>
      <c r="O18" s="8">
        <f t="shared" si="9"/>
        <v>6.0224589298047563E-3</v>
      </c>
      <c r="P18" s="8"/>
      <c r="Q18" s="8">
        <f t="shared" si="10"/>
        <v>0.15117899390037134</v>
      </c>
      <c r="R18" s="8">
        <f t="shared" si="11"/>
        <v>0.10466447039363445</v>
      </c>
    </row>
    <row r="19" spans="2:18">
      <c r="B19">
        <f t="shared" si="12"/>
        <v>15</v>
      </c>
      <c r="C19" s="4">
        <f t="shared" si="14"/>
        <v>0.79999999999999982</v>
      </c>
      <c r="E19" s="8">
        <f t="shared" si="0"/>
        <v>0.28969155276148278</v>
      </c>
      <c r="F19" s="8">
        <f t="shared" si="1"/>
        <v>0.78814460141660325</v>
      </c>
      <c r="G19" s="8"/>
      <c r="H19" s="8">
        <f t="shared" si="4"/>
        <v>0.48641578111155354</v>
      </c>
      <c r="I19" s="8">
        <f t="shared" si="5"/>
        <v>0.41171189185745483</v>
      </c>
      <c r="J19" s="8"/>
      <c r="K19" s="8">
        <f t="shared" si="6"/>
        <v>0.23602086768978114</v>
      </c>
      <c r="L19" s="8">
        <f t="shared" si="7"/>
        <v>0.11063774088351472</v>
      </c>
      <c r="M19" s="8"/>
      <c r="N19" s="8">
        <f t="shared" si="8"/>
        <v>4.2130699204793766E-2</v>
      </c>
      <c r="O19" s="8">
        <f t="shared" si="9"/>
        <v>1.3103060880527328E-2</v>
      </c>
      <c r="P19" s="8"/>
      <c r="Q19" s="8">
        <f t="shared" si="10"/>
        <v>0.13442645013326965</v>
      </c>
      <c r="R19" s="8">
        <f t="shared" si="11"/>
        <v>0.13316115673454657</v>
      </c>
    </row>
    <row r="20" spans="2:18">
      <c r="B20">
        <f t="shared" si="12"/>
        <v>16</v>
      </c>
      <c r="C20" s="4">
        <f t="shared" si="14"/>
        <v>0.99999999999999978</v>
      </c>
      <c r="E20" s="8">
        <f t="shared" si="0"/>
        <v>0.24197072451914342</v>
      </c>
      <c r="F20" s="8">
        <f t="shared" si="1"/>
        <v>0.84134474606854281</v>
      </c>
      <c r="G20" s="8"/>
      <c r="H20" s="8">
        <f t="shared" si="4"/>
        <v>0.39894228040143276</v>
      </c>
      <c r="I20" s="8">
        <f t="shared" si="5"/>
        <v>0.49999999999999989</v>
      </c>
      <c r="J20" s="8"/>
      <c r="K20" s="8">
        <f t="shared" si="6"/>
        <v>0.24197072451914328</v>
      </c>
      <c r="L20" s="8">
        <f t="shared" si="7"/>
        <v>0.15865525393145699</v>
      </c>
      <c r="M20" s="8"/>
      <c r="N20" s="8">
        <f t="shared" si="8"/>
        <v>5.3990966513188098E-2</v>
      </c>
      <c r="O20" s="8">
        <f t="shared" si="9"/>
        <v>2.2750131948179191E-2</v>
      </c>
      <c r="P20" s="8"/>
      <c r="Q20" s="8">
        <f t="shared" si="10"/>
        <v>0.12098536225957175</v>
      </c>
      <c r="R20" s="8">
        <f t="shared" si="11"/>
        <v>0.15865525393145699</v>
      </c>
    </row>
    <row r="21" spans="2:18">
      <c r="B21" s="2">
        <f t="shared" ref="B21:B26" si="15">B20+1</f>
        <v>17</v>
      </c>
      <c r="C21" s="5">
        <f t="shared" si="14"/>
        <v>1.1999999999999997</v>
      </c>
      <c r="D21" s="2"/>
      <c r="E21" s="9">
        <f t="shared" si="0"/>
        <v>0.19418605498321304</v>
      </c>
      <c r="F21" s="9">
        <f t="shared" si="1"/>
        <v>0.88493032977829167</v>
      </c>
      <c r="G21" s="9"/>
      <c r="H21" s="9">
        <f t="shared" si="4"/>
        <v>0.3269720240742558</v>
      </c>
      <c r="I21" s="9">
        <f t="shared" si="5"/>
        <v>0.57233480883676824</v>
      </c>
      <c r="J21" s="9"/>
      <c r="K21" s="9">
        <f t="shared" si="6"/>
        <v>0.23798226896320004</v>
      </c>
      <c r="L21" s="9">
        <f t="shared" si="7"/>
        <v>0.20677041134313467</v>
      </c>
      <c r="M21" s="9"/>
      <c r="N21" s="9">
        <f t="shared" si="8"/>
        <v>6.3721226143494625E-2</v>
      </c>
      <c r="O21" s="9">
        <f t="shared" si="9"/>
        <v>3.4556647196712247E-2</v>
      </c>
      <c r="P21" s="9"/>
      <c r="Q21" s="9">
        <f t="shared" si="10"/>
        <v>0.10998606138279539</v>
      </c>
      <c r="R21" s="9">
        <f t="shared" si="11"/>
        <v>0.18171749992198416</v>
      </c>
    </row>
    <row r="22" spans="2:18">
      <c r="B22">
        <f t="shared" si="15"/>
        <v>18</v>
      </c>
      <c r="C22" s="4">
        <f t="shared" si="14"/>
        <v>1.3999999999999997</v>
      </c>
      <c r="E22" s="8">
        <f t="shared" si="0"/>
        <v>0.14972746563574493</v>
      </c>
      <c r="F22" s="8">
        <f t="shared" si="1"/>
        <v>0.91924334076622893</v>
      </c>
      <c r="G22" s="8"/>
      <c r="H22" s="8">
        <f t="shared" si="4"/>
        <v>0.26927622894993264</v>
      </c>
      <c r="I22" s="8">
        <f t="shared" si="5"/>
        <v>0.63174260783667535</v>
      </c>
      <c r="J22" s="8"/>
      <c r="K22" s="8">
        <f t="shared" si="6"/>
        <v>0.22865400430590585</v>
      </c>
      <c r="L22" s="8">
        <f t="shared" si="7"/>
        <v>0.25349630216805896</v>
      </c>
      <c r="M22" s="8"/>
      <c r="N22" s="8">
        <f t="shared" si="8"/>
        <v>7.1427446439099124E-2</v>
      </c>
      <c r="O22" s="8">
        <f t="shared" si="9"/>
        <v>4.8103419068731466E-2</v>
      </c>
      <c r="P22" s="8"/>
      <c r="Q22" s="8">
        <f t="shared" si="10"/>
        <v>0.10081445530455559</v>
      </c>
      <c r="R22" s="8">
        <f t="shared" si="11"/>
        <v>0.20277111729733943</v>
      </c>
    </row>
    <row r="23" spans="2:18">
      <c r="B23">
        <f t="shared" si="15"/>
        <v>19</v>
      </c>
      <c r="C23" s="4">
        <f t="shared" si="14"/>
        <v>1.5999999999999996</v>
      </c>
      <c r="E23" s="8">
        <f t="shared" si="0"/>
        <v>0.11092083467945563</v>
      </c>
      <c r="F23" s="8">
        <f t="shared" si="1"/>
        <v>0.94520070830044201</v>
      </c>
      <c r="G23" s="8"/>
      <c r="H23" s="8">
        <f t="shared" si="4"/>
        <v>0.22326544743029908</v>
      </c>
      <c r="I23" s="8">
        <f t="shared" si="5"/>
        <v>0.68082378767482665</v>
      </c>
      <c r="J23" s="8"/>
      <c r="K23" s="8">
        <f t="shared" si="6"/>
        <v>0.21666774259349683</v>
      </c>
      <c r="L23" s="8">
        <f t="shared" si="7"/>
        <v>0.29805722353843567</v>
      </c>
      <c r="M23" s="8"/>
      <c r="N23" s="8">
        <f t="shared" si="8"/>
        <v>7.7352172966217145E-2</v>
      </c>
      <c r="O23" s="8">
        <f t="shared" si="9"/>
        <v>6.3008813630801519E-2</v>
      </c>
      <c r="P23" s="8"/>
      <c r="Q23" s="8">
        <f t="shared" si="10"/>
        <v>9.3042355425451306E-2</v>
      </c>
      <c r="R23" s="8">
        <f t="shared" si="11"/>
        <v>0.22213631258966346</v>
      </c>
    </row>
    <row r="24" spans="2:18">
      <c r="B24">
        <f t="shared" si="15"/>
        <v>20</v>
      </c>
      <c r="C24" s="4">
        <f t="shared" si="14"/>
        <v>1.7999999999999996</v>
      </c>
      <c r="E24" s="8">
        <f t="shared" si="0"/>
        <v>7.8950158300894219E-2</v>
      </c>
      <c r="F24" s="8">
        <f t="shared" si="1"/>
        <v>0.96406968088707412</v>
      </c>
      <c r="G24" s="8"/>
      <c r="H24" s="8">
        <f t="shared" si="4"/>
        <v>0.18647244853890818</v>
      </c>
      <c r="I24" s="8">
        <f t="shared" si="5"/>
        <v>0.7216622520650845</v>
      </c>
      <c r="J24" s="8"/>
      <c r="K24" s="8">
        <f t="shared" si="6"/>
        <v>0.2035822630149613</v>
      </c>
      <c r="L24" s="8">
        <f t="shared" si="7"/>
        <v>0.34009153194244823</v>
      </c>
      <c r="M24" s="8"/>
      <c r="N24" s="8">
        <f t="shared" si="8"/>
        <v>8.176561730983449E-2</v>
      </c>
      <c r="O24" s="8">
        <f t="shared" si="9"/>
        <v>7.8943577604463772E-2</v>
      </c>
      <c r="P24" s="8"/>
      <c r="Q24" s="8">
        <f t="shared" si="10"/>
        <v>8.63656120011074E-2</v>
      </c>
      <c r="R24" s="8">
        <f t="shared" si="11"/>
        <v>0.24006090280753362</v>
      </c>
    </row>
    <row r="25" spans="2:18">
      <c r="B25">
        <f t="shared" si="15"/>
        <v>21</v>
      </c>
      <c r="C25" s="4">
        <f t="shared" si="14"/>
        <v>1.9999999999999996</v>
      </c>
      <c r="E25" s="8">
        <f t="shared" si="0"/>
        <v>5.3990966513188104E-2</v>
      </c>
      <c r="F25" s="8">
        <f t="shared" si="1"/>
        <v>0.97724986805182079</v>
      </c>
      <c r="G25" s="8"/>
      <c r="H25" s="8">
        <f t="shared" si="4"/>
        <v>0.15687401927898115</v>
      </c>
      <c r="I25" s="8">
        <f t="shared" si="5"/>
        <v>0.75589140421441714</v>
      </c>
      <c r="J25" s="8"/>
      <c r="K25" s="8">
        <f t="shared" si="6"/>
        <v>0.19029780481010553</v>
      </c>
      <c r="L25" s="8">
        <f t="shared" si="7"/>
        <v>0.37947770112008478</v>
      </c>
      <c r="M25" s="8"/>
      <c r="N25" s="8">
        <f t="shared" si="8"/>
        <v>8.4922359326346938E-2</v>
      </c>
      <c r="O25" s="8">
        <f t="shared" si="9"/>
        <v>9.563135117897982E-2</v>
      </c>
      <c r="P25" s="8"/>
      <c r="Q25" s="8">
        <f t="shared" si="10"/>
        <v>8.0562988814319961E-2</v>
      </c>
      <c r="R25" s="8">
        <f t="shared" si="11"/>
        <v>0.25674070875159427</v>
      </c>
    </row>
    <row r="26" spans="2:18">
      <c r="B26" s="2">
        <f t="shared" si="15"/>
        <v>22</v>
      </c>
      <c r="C26" s="5">
        <f t="shared" si="14"/>
        <v>2.1999999999999997</v>
      </c>
      <c r="D26" s="2"/>
      <c r="E26" s="9">
        <f t="shared" si="0"/>
        <v>3.5474592846231459E-2</v>
      </c>
      <c r="F26" s="9">
        <f t="shared" si="1"/>
        <v>0.98609655248650141</v>
      </c>
      <c r="G26" s="9"/>
      <c r="H26" s="9">
        <f t="shared" si="4"/>
        <v>0.13289068604818741</v>
      </c>
      <c r="I26" s="9">
        <f t="shared" si="5"/>
        <v>0.78478538481714288</v>
      </c>
      <c r="J26" s="9"/>
      <c r="K26" s="9">
        <f t="shared" si="6"/>
        <v>0.17732500605263746</v>
      </c>
      <c r="L26" s="9">
        <f t="shared" si="7"/>
        <v>0.41623193166854799</v>
      </c>
      <c r="M26" s="9"/>
      <c r="N26" s="9">
        <f t="shared" si="8"/>
        <v>8.7046425397461824E-2</v>
      </c>
      <c r="O26" s="9">
        <f t="shared" si="9"/>
        <v>0.11284375153914879</v>
      </c>
      <c r="P26" s="9"/>
      <c r="Q26" s="9">
        <f t="shared" si="10"/>
        <v>7.5469813785516454E-2</v>
      </c>
      <c r="R26" s="9">
        <f t="shared" si="11"/>
        <v>0.27233330853063092</v>
      </c>
    </row>
    <row r="27" spans="2:18">
      <c r="B27">
        <f t="shared" si="12"/>
        <v>23</v>
      </c>
      <c r="C27" s="4">
        <f t="shared" si="14"/>
        <v>2.4</v>
      </c>
      <c r="E27" s="8">
        <f t="shared" si="0"/>
        <v>2.2394530294842899E-2</v>
      </c>
      <c r="F27" s="8">
        <f t="shared" si="1"/>
        <v>0.99180246407540384</v>
      </c>
      <c r="G27" s="8"/>
      <c r="H27" s="8">
        <f t="shared" si="4"/>
        <v>0.11330975388970918</v>
      </c>
      <c r="I27" s="8">
        <f t="shared" si="5"/>
        <v>0.8093405433351144</v>
      </c>
      <c r="J27" s="8"/>
      <c r="K27" s="8">
        <f t="shared" si="6"/>
        <v>0.16494201546864345</v>
      </c>
      <c r="L27" s="8">
        <f t="shared" si="7"/>
        <v>0.45044732450886094</v>
      </c>
      <c r="M27" s="8"/>
      <c r="N27" s="8">
        <f t="shared" si="8"/>
        <v>8.8328491984135671E-2</v>
      </c>
      <c r="O27" s="8">
        <f t="shared" si="9"/>
        <v>0.13039385782180163</v>
      </c>
      <c r="P27" s="8"/>
      <c r="Q27" s="8">
        <f t="shared" si="10"/>
        <v>7.0960934533653264E-2</v>
      </c>
      <c r="R27" s="8">
        <f t="shared" si="11"/>
        <v>0.2869675254536817</v>
      </c>
    </row>
    <row r="28" spans="2:18">
      <c r="B28">
        <f t="shared" si="12"/>
        <v>24</v>
      </c>
      <c r="C28" s="4">
        <f t="shared" si="14"/>
        <v>2.6</v>
      </c>
      <c r="E28" s="8">
        <f t="shared" si="0"/>
        <v>1.3582969233685613E-2</v>
      </c>
      <c r="F28" s="8">
        <f t="shared" si="1"/>
        <v>0.99533881197628127</v>
      </c>
      <c r="G28" s="8"/>
      <c r="H28" s="8">
        <f t="shared" si="4"/>
        <v>9.7203259024292873E-2</v>
      </c>
      <c r="I28" s="8">
        <f t="shared" si="5"/>
        <v>0.83034043982357209</v>
      </c>
      <c r="J28" s="8"/>
      <c r="K28" s="8">
        <f t="shared" si="6"/>
        <v>0.15328756773777805</v>
      </c>
      <c r="L28" s="8">
        <f t="shared" si="7"/>
        <v>0.4822574873771619</v>
      </c>
      <c r="M28" s="8"/>
      <c r="N28" s="8">
        <f t="shared" si="8"/>
        <v>8.8928006799043613E-2</v>
      </c>
      <c r="O28" s="8">
        <f t="shared" si="9"/>
        <v>0.14812970582252519</v>
      </c>
      <c r="P28" s="8"/>
      <c r="Q28" s="8">
        <f t="shared" si="10"/>
        <v>6.6939456564764757E-2</v>
      </c>
      <c r="R28" s="8">
        <f t="shared" si="11"/>
        <v>0.30075013049790456</v>
      </c>
    </row>
    <row r="29" spans="2:18">
      <c r="B29">
        <f t="shared" si="12"/>
        <v>25</v>
      </c>
      <c r="C29" s="4">
        <f t="shared" si="14"/>
        <v>2.8000000000000003</v>
      </c>
      <c r="E29" s="8">
        <f t="shared" si="0"/>
        <v>7.9154515829799564E-3</v>
      </c>
      <c r="F29" s="8">
        <f t="shared" si="1"/>
        <v>0.99744486966957202</v>
      </c>
      <c r="G29" s="8"/>
      <c r="H29" s="8">
        <f t="shared" si="4"/>
        <v>8.3859204569487755E-2</v>
      </c>
      <c r="I29" s="8">
        <f t="shared" si="5"/>
        <v>0.84840565167733395</v>
      </c>
      <c r="J29" s="8"/>
      <c r="K29" s="8">
        <f t="shared" si="6"/>
        <v>0.1424169002774226</v>
      </c>
      <c r="L29" s="8">
        <f t="shared" si="7"/>
        <v>0.51181471028216041</v>
      </c>
      <c r="M29" s="8"/>
      <c r="N29" s="8">
        <f t="shared" si="8"/>
        <v>8.8977016146883997E-2</v>
      </c>
      <c r="O29" s="8">
        <f t="shared" si="9"/>
        <v>0.1659284118091405</v>
      </c>
      <c r="P29" s="8"/>
      <c r="Q29" s="8">
        <f t="shared" si="10"/>
        <v>6.3329125296453168E-2</v>
      </c>
      <c r="R29" s="8">
        <f t="shared" si="11"/>
        <v>0.31377068410617948</v>
      </c>
    </row>
    <row r="30" spans="2:18">
      <c r="B30">
        <f t="shared" si="12"/>
        <v>26</v>
      </c>
      <c r="C30" s="4">
        <f t="shared" si="14"/>
        <v>3.0000000000000004</v>
      </c>
      <c r="E30" s="8">
        <f t="shared" si="0"/>
        <v>4.4318484119379997E-3</v>
      </c>
      <c r="F30" s="8">
        <f t="shared" si="1"/>
        <v>0.9986501019683699</v>
      </c>
      <c r="G30" s="8"/>
      <c r="H30" s="8">
        <f t="shared" si="4"/>
        <v>7.2728256139994757E-2</v>
      </c>
      <c r="I30" s="8">
        <f t="shared" si="5"/>
        <v>0.86403139235857551</v>
      </c>
      <c r="J30" s="8"/>
      <c r="K30" s="8">
        <f t="shared" si="6"/>
        <v>0.13233575152902116</v>
      </c>
      <c r="L30" s="8">
        <f t="shared" si="7"/>
        <v>0.53927694368229939</v>
      </c>
      <c r="M30" s="8"/>
      <c r="N30" s="8">
        <f t="shared" si="8"/>
        <v>8.858429229609989E-2</v>
      </c>
      <c r="O30" s="8">
        <f t="shared" si="9"/>
        <v>0.1836911064379449</v>
      </c>
      <c r="P30" s="8"/>
      <c r="Q30" s="8">
        <f t="shared" si="10"/>
        <v>6.006905402027235E-2</v>
      </c>
      <c r="R30" s="8">
        <f t="shared" si="11"/>
        <v>0.32610510568166584</v>
      </c>
    </row>
    <row r="31" spans="2:18">
      <c r="B31" s="2">
        <f t="shared" ref="B31:B36" si="16">B30+1</f>
        <v>27</v>
      </c>
      <c r="C31" s="5">
        <f t="shared" si="14"/>
        <v>3.2000000000000006</v>
      </c>
      <c r="D31" s="2"/>
      <c r="E31" s="7">
        <f t="shared" si="0"/>
        <v>2.3840882014648382E-3</v>
      </c>
      <c r="F31" s="7">
        <f t="shared" si="1"/>
        <v>0.99931286206208414</v>
      </c>
      <c r="G31" s="7"/>
      <c r="H31" s="7">
        <f t="shared" si="4"/>
        <v>6.3383655770863107E-2</v>
      </c>
      <c r="I31" s="7">
        <f t="shared" si="5"/>
        <v>0.87761583987745262</v>
      </c>
      <c r="J31" s="7"/>
      <c r="K31" s="7">
        <f t="shared" si="6"/>
        <v>0.12302121775904024</v>
      </c>
      <c r="L31" s="7">
        <f t="shared" si="7"/>
        <v>0.56480015237370285</v>
      </c>
      <c r="M31" s="7"/>
      <c r="N31" s="7">
        <f t="shared" si="8"/>
        <v>8.783918086473444E-2</v>
      </c>
      <c r="O31" s="7">
        <f t="shared" si="9"/>
        <v>0.20133867177571002</v>
      </c>
      <c r="P31" s="7"/>
      <c r="Q31" s="7">
        <f t="shared" si="10"/>
        <v>5.7109997249808364E-2</v>
      </c>
      <c r="R31" s="7">
        <f t="shared" si="11"/>
        <v>0.33781835363195722</v>
      </c>
    </row>
    <row r="32" spans="2:18">
      <c r="B32">
        <f t="shared" si="16"/>
        <v>28</v>
      </c>
      <c r="C32" s="4">
        <f t="shared" si="14"/>
        <v>3.4000000000000008</v>
      </c>
      <c r="E32" s="6">
        <f t="shared" si="0"/>
        <v>1.2322191684730154E-3</v>
      </c>
      <c r="F32" s="6">
        <f t="shared" si="1"/>
        <v>0.99966307073432314</v>
      </c>
      <c r="G32" s="6"/>
      <c r="H32" s="6">
        <f t="shared" si="4"/>
        <v>5.5491405928908222E-2</v>
      </c>
      <c r="I32" s="6">
        <f t="shared" si="5"/>
        <v>0.88948152256526258</v>
      </c>
      <c r="J32" s="6"/>
      <c r="K32" s="6">
        <f t="shared" si="6"/>
        <v>0.11443461275790369</v>
      </c>
      <c r="L32" s="6">
        <f t="shared" si="7"/>
        <v>0.58853397603491875</v>
      </c>
      <c r="M32" s="6"/>
      <c r="N32" s="6">
        <f t="shared" si="8"/>
        <v>8.6814965802061703E-2</v>
      </c>
      <c r="O32" s="6">
        <f t="shared" si="9"/>
        <v>0.21880820110940569</v>
      </c>
      <c r="P32" s="6"/>
      <c r="Q32" s="6">
        <f t="shared" si="10"/>
        <v>5.4411665000224547E-2</v>
      </c>
      <c r="R32" s="6">
        <f t="shared" si="11"/>
        <v>0.34896647082262139</v>
      </c>
    </row>
    <row r="33" spans="2:18">
      <c r="B33">
        <f t="shared" si="16"/>
        <v>29</v>
      </c>
      <c r="C33" s="4">
        <f t="shared" si="14"/>
        <v>3.600000000000001</v>
      </c>
      <c r="E33" s="6">
        <f t="shared" si="0"/>
        <v>6.1190193011377027E-4</v>
      </c>
      <c r="F33" s="6">
        <f t="shared" si="1"/>
        <v>0.99984089140984245</v>
      </c>
      <c r="G33" s="6"/>
      <c r="H33" s="6">
        <f t="shared" si="4"/>
        <v>4.8788134709186061E-2</v>
      </c>
      <c r="I33" s="6">
        <f t="shared" si="5"/>
        <v>0.89989154824109063</v>
      </c>
      <c r="J33" s="6"/>
      <c r="K33" s="6">
        <f t="shared" si="6"/>
        <v>0.1065293983127213</v>
      </c>
      <c r="L33" s="6">
        <f t="shared" si="7"/>
        <v>0.61061942966869653</v>
      </c>
      <c r="M33" s="6"/>
      <c r="N33" s="6">
        <f t="shared" si="8"/>
        <v>8.557171814172021E-2</v>
      </c>
      <c r="O33" s="6">
        <f t="shared" si="9"/>
        <v>0.23605007990982249</v>
      </c>
      <c r="P33" s="6"/>
      <c r="Q33" s="6">
        <f t="shared" si="10"/>
        <v>5.1940752963827462E-2</v>
      </c>
      <c r="R33" s="6">
        <f t="shared" si="11"/>
        <v>0.3595981688108944</v>
      </c>
    </row>
    <row r="34" spans="2:18">
      <c r="B34">
        <f t="shared" si="16"/>
        <v>30</v>
      </c>
      <c r="C34" s="4">
        <f t="shared" si="14"/>
        <v>3.8000000000000012</v>
      </c>
      <c r="E34" s="6">
        <f t="shared" si="0"/>
        <v>2.9194692579145897E-4</v>
      </c>
      <c r="F34" s="6">
        <f t="shared" si="1"/>
        <v>0.99992765195607491</v>
      </c>
      <c r="G34" s="6"/>
      <c r="H34" s="6">
        <f t="shared" si="4"/>
        <v>4.3064618993388912E-2</v>
      </c>
      <c r="I34" s="6">
        <f t="shared" si="5"/>
        <v>0.90906200134087323</v>
      </c>
      <c r="J34" s="6"/>
      <c r="K34" s="6">
        <f t="shared" si="6"/>
        <v>9.9256044719666925E-2</v>
      </c>
      <c r="L34" s="6">
        <f t="shared" si="7"/>
        <v>0.63118785923389165</v>
      </c>
      <c r="M34" s="6"/>
      <c r="N34" s="6">
        <f t="shared" si="8"/>
        <v>8.4158665185196241E-2</v>
      </c>
      <c r="O34" s="6">
        <f t="shared" si="9"/>
        <v>0.25302558768154243</v>
      </c>
      <c r="P34" s="6"/>
      <c r="Q34" s="6">
        <f t="shared" si="10"/>
        <v>4.9669474579116163E-2</v>
      </c>
      <c r="R34" s="6">
        <f t="shared" si="11"/>
        <v>0.36975607119040821</v>
      </c>
    </row>
    <row r="35" spans="2:18">
      <c r="B35">
        <f t="shared" si="16"/>
        <v>31</v>
      </c>
      <c r="C35" s="4">
        <f t="shared" si="14"/>
        <v>4.0000000000000009</v>
      </c>
      <c r="E35" s="6">
        <f t="shared" si="0"/>
        <v>1.3383022576488488E-4</v>
      </c>
      <c r="F35" s="6">
        <f t="shared" si="1"/>
        <v>0.99996832875816688</v>
      </c>
      <c r="G35" s="6"/>
      <c r="H35" s="6">
        <f t="shared" si="4"/>
        <v>3.8153456511886411E-2</v>
      </c>
      <c r="I35" s="6">
        <f t="shared" si="5"/>
        <v>0.91717148099830159</v>
      </c>
      <c r="J35" s="6"/>
      <c r="K35" s="6">
        <f t="shared" si="6"/>
        <v>9.2564964593886953E-2</v>
      </c>
      <c r="L35" s="6">
        <f t="shared" si="7"/>
        <v>0.65036066189930919</v>
      </c>
      <c r="M35" s="6"/>
      <c r="N35" s="6">
        <f t="shared" si="8"/>
        <v>8.2616141495870946E-2</v>
      </c>
      <c r="O35" s="6">
        <f t="shared" si="9"/>
        <v>0.26970493073490953</v>
      </c>
      <c r="P35" s="6"/>
      <c r="Q35" s="6">
        <f t="shared" si="10"/>
        <v>4.7574451202526381E-2</v>
      </c>
      <c r="R35" s="6">
        <f t="shared" si="11"/>
        <v>0.37947770112008494</v>
      </c>
    </row>
    <row r="36" spans="2:18">
      <c r="B36" s="2">
        <f t="shared" si="16"/>
        <v>32</v>
      </c>
      <c r="C36" s="5">
        <f t="shared" si="14"/>
        <v>4.2000000000000011</v>
      </c>
      <c r="D36" s="2"/>
      <c r="E36" s="7">
        <f t="shared" si="0"/>
        <v>5.8943067756539645E-5</v>
      </c>
      <c r="F36" s="7">
        <f t="shared" si="1"/>
        <v>0.9999866542509841</v>
      </c>
      <c r="G36" s="7"/>
      <c r="H36" s="7">
        <f t="shared" si="4"/>
        <v>3.3919783326583818E-2</v>
      </c>
      <c r="I36" s="7">
        <f t="shared" si="5"/>
        <v>0.92436849366536977</v>
      </c>
      <c r="J36" s="7"/>
      <c r="K36" s="7">
        <f t="shared" si="6"/>
        <v>8.6408231945206387E-2</v>
      </c>
      <c r="L36" s="7">
        <f t="shared" si="7"/>
        <v>0.66824946230438753</v>
      </c>
      <c r="M36" s="7"/>
      <c r="N36" s="7">
        <f t="shared" si="8"/>
        <v>8.0977187054721622E-2</v>
      </c>
      <c r="O36" s="7">
        <f t="shared" si="9"/>
        <v>0.28606562880830655</v>
      </c>
      <c r="P36" s="7"/>
      <c r="Q36" s="7">
        <f t="shared" si="10"/>
        <v>4.5635861928405262E-2</v>
      </c>
      <c r="R36" s="7">
        <f t="shared" si="11"/>
        <v>0.38879627420738339</v>
      </c>
    </row>
    <row r="37" spans="2:18">
      <c r="B37">
        <f t="shared" si="12"/>
        <v>33</v>
      </c>
      <c r="C37" s="4">
        <f t="shared" si="14"/>
        <v>4.4000000000000012</v>
      </c>
      <c r="E37" s="6">
        <f t="shared" ref="E37:E68" si="17">_xlfn.NORM.DIST($C37,E$2,E$3,0)</f>
        <v>2.4942471290053444E-5</v>
      </c>
      <c r="F37" s="6">
        <f t="shared" ref="F37:F68" si="18">_xlfn.NORM.DIST($C37,E$2,E$3,1)</f>
        <v>0.99999458745609227</v>
      </c>
      <c r="G37" s="6"/>
      <c r="H37" s="6">
        <f t="shared" si="4"/>
        <v>3.02542356756332E-2</v>
      </c>
      <c r="I37" s="6">
        <f t="shared" si="5"/>
        <v>0.93077722496530502</v>
      </c>
      <c r="J37" s="6"/>
      <c r="K37" s="6">
        <f t="shared" si="6"/>
        <v>8.0740534703150485E-2</v>
      </c>
      <c r="L37" s="6">
        <f t="shared" si="7"/>
        <v>0.68495655010656142</v>
      </c>
      <c r="M37" s="6"/>
      <c r="N37" s="6">
        <f t="shared" si="8"/>
        <v>7.9268853130648881E-2</v>
      </c>
      <c r="O37" s="6">
        <f t="shared" si="9"/>
        <v>0.30209119114538374</v>
      </c>
      <c r="P37" s="6"/>
      <c r="Q37" s="6">
        <f t="shared" si="10"/>
        <v>4.3836784460715081E-2</v>
      </c>
      <c r="R37" s="6">
        <f t="shared" si="11"/>
        <v>0.39774134141337053</v>
      </c>
    </row>
    <row r="38" spans="2:18">
      <c r="B38">
        <f t="shared" si="12"/>
        <v>34</v>
      </c>
      <c r="C38" s="4">
        <f t="shared" si="14"/>
        <v>4.6000000000000014</v>
      </c>
      <c r="E38" s="6">
        <f t="shared" si="17"/>
        <v>1.014085206548667E-5</v>
      </c>
      <c r="F38" s="6">
        <f t="shared" si="18"/>
        <v>0.9999978875452975</v>
      </c>
      <c r="G38" s="6"/>
      <c r="H38" s="6">
        <f t="shared" si="4"/>
        <v>2.7067575122188412E-2</v>
      </c>
      <c r="I38" s="6">
        <f t="shared" si="5"/>
        <v>0.93650207844951427</v>
      </c>
      <c r="J38" s="6"/>
      <c r="K38" s="6">
        <f t="shared" si="6"/>
        <v>7.5519645300138105E-2</v>
      </c>
      <c r="L38" s="6">
        <f t="shared" si="7"/>
        <v>0.70057545609458727</v>
      </c>
      <c r="M38" s="6"/>
      <c r="N38" s="6">
        <f t="shared" si="8"/>
        <v>7.7513268530793267E-2</v>
      </c>
      <c r="O38" s="6">
        <f t="shared" si="9"/>
        <v>0.31777002897719686</v>
      </c>
      <c r="P38" s="6"/>
      <c r="Q38" s="6">
        <f t="shared" si="10"/>
        <v>4.2162678470133767E-2</v>
      </c>
      <c r="R38" s="6">
        <f t="shared" si="11"/>
        <v>0.40633931506070059</v>
      </c>
    </row>
    <row r="39" spans="2:18">
      <c r="B39">
        <f t="shared" si="12"/>
        <v>35</v>
      </c>
      <c r="C39" s="4">
        <f t="shared" si="14"/>
        <v>4.8000000000000016</v>
      </c>
      <c r="E39" s="6">
        <f t="shared" si="17"/>
        <v>3.9612990910320406E-6</v>
      </c>
      <c r="F39" s="6">
        <f t="shared" si="18"/>
        <v>0.99999920667184805</v>
      </c>
      <c r="G39" s="6"/>
      <c r="H39" s="6">
        <f t="shared" si="4"/>
        <v>2.4286554365014441E-2</v>
      </c>
      <c r="I39" s="6">
        <f t="shared" si="5"/>
        <v>0.94163126943195219</v>
      </c>
      <c r="J39" s="6"/>
      <c r="K39" s="6">
        <f t="shared" si="6"/>
        <v>7.0706591237562982E-2</v>
      </c>
      <c r="L39" s="6">
        <f t="shared" si="7"/>
        <v>0.71519159001643606</v>
      </c>
      <c r="M39" s="6"/>
      <c r="N39" s="6">
        <f t="shared" si="8"/>
        <v>7.572851052665755E-2</v>
      </c>
      <c r="O39" s="6">
        <f t="shared" si="9"/>
        <v>0.33309456105104129</v>
      </c>
      <c r="P39" s="6"/>
      <c r="Q39" s="6">
        <f t="shared" si="10"/>
        <v>4.0600976539643688E-2</v>
      </c>
      <c r="R39" s="6">
        <f t="shared" si="11"/>
        <v>0.41461390276418014</v>
      </c>
    </row>
    <row r="40" spans="2:18">
      <c r="B40">
        <f t="shared" si="12"/>
        <v>36</v>
      </c>
      <c r="C40" s="4">
        <f t="shared" si="14"/>
        <v>5.0000000000000018</v>
      </c>
      <c r="E40" s="6">
        <f t="shared" si="17"/>
        <v>1.4867195147342845E-6</v>
      </c>
      <c r="F40" s="6">
        <f t="shared" si="18"/>
        <v>0.99999971334842808</v>
      </c>
      <c r="G40" s="6"/>
      <c r="H40" s="6">
        <f t="shared" si="4"/>
        <v>2.1850714830327165E-2</v>
      </c>
      <c r="I40" s="6">
        <f t="shared" si="5"/>
        <v>0.94623968954833693</v>
      </c>
      <c r="J40" s="6"/>
      <c r="K40" s="6">
        <f t="shared" si="6"/>
        <v>6.6265642406154859E-2</v>
      </c>
      <c r="L40" s="6">
        <f t="shared" si="7"/>
        <v>0.72888289265311801</v>
      </c>
      <c r="M40" s="6"/>
      <c r="N40" s="6">
        <f t="shared" si="8"/>
        <v>7.3929317012119633E-2</v>
      </c>
      <c r="O40" s="6">
        <f t="shared" si="9"/>
        <v>0.34806047691775621</v>
      </c>
      <c r="P40" s="6"/>
      <c r="Q40" s="6">
        <f t="shared" si="10"/>
        <v>3.9140757279631039E-2</v>
      </c>
      <c r="R40" s="6">
        <f t="shared" si="11"/>
        <v>0.42258646812850209</v>
      </c>
    </row>
    <row r="41" spans="2:18">
      <c r="B41" s="2">
        <f t="shared" ref="B41:B46" si="19">B40+1</f>
        <v>37</v>
      </c>
      <c r="C41" s="5">
        <f t="shared" si="14"/>
        <v>5.200000000000002</v>
      </c>
      <c r="D41" s="2"/>
      <c r="E41" s="7">
        <f t="shared" si="17"/>
        <v>5.3610353446975658E-7</v>
      </c>
      <c r="F41" s="7">
        <f t="shared" si="18"/>
        <v>0.99999990035573683</v>
      </c>
      <c r="G41" s="7"/>
      <c r="H41" s="7">
        <f t="shared" si="4"/>
        <v>1.9709888977107553E-2</v>
      </c>
      <c r="I41" s="7">
        <f t="shared" si="5"/>
        <v>0.95039120453926651</v>
      </c>
      <c r="J41" s="7"/>
      <c r="K41" s="7">
        <f t="shared" si="6"/>
        <v>6.2164190213568629E-2</v>
      </c>
      <c r="L41" s="7">
        <f t="shared" si="7"/>
        <v>0.74172047354618087</v>
      </c>
      <c r="M41" s="7"/>
      <c r="N41" s="7">
        <f t="shared" si="8"/>
        <v>7.2127669732825347E-2</v>
      </c>
      <c r="O41" s="7">
        <f t="shared" si="9"/>
        <v>0.3626661293106227</v>
      </c>
      <c r="P41" s="7"/>
      <c r="Q41" s="7">
        <f t="shared" si="10"/>
        <v>3.7772481862651176E-2</v>
      </c>
      <c r="R41" s="7">
        <f t="shared" si="11"/>
        <v>0.43027633267903154</v>
      </c>
    </row>
    <row r="42" spans="2:18">
      <c r="B42">
        <f t="shared" si="19"/>
        <v>38</v>
      </c>
      <c r="C42" s="4">
        <f t="shared" si="14"/>
        <v>5.4000000000000021</v>
      </c>
      <c r="E42" s="6">
        <f t="shared" si="17"/>
        <v>1.8573618445552733E-7</v>
      </c>
      <c r="F42" s="6">
        <f t="shared" si="18"/>
        <v>0.99999996667955149</v>
      </c>
      <c r="G42" s="6"/>
      <c r="H42" s="6">
        <f t="shared" si="4"/>
        <v>1.7822239310349198E-2</v>
      </c>
      <c r="I42" s="6">
        <f t="shared" si="5"/>
        <v>0.95414050856669441</v>
      </c>
      <c r="J42" s="6"/>
      <c r="K42" s="6">
        <f t="shared" si="6"/>
        <v>5.8372566658897722E-2</v>
      </c>
      <c r="L42" s="6">
        <f t="shared" si="7"/>
        <v>0.75376921791138818</v>
      </c>
      <c r="M42" s="6"/>
      <c r="N42" s="6">
        <f t="shared" si="8"/>
        <v>7.0333272793123708E-2</v>
      </c>
      <c r="O42" s="6">
        <f t="shared" si="9"/>
        <v>0.37691203233593418</v>
      </c>
      <c r="P42" s="6"/>
      <c r="Q42" s="6">
        <f t="shared" si="10"/>
        <v>3.648777998523553E-2</v>
      </c>
      <c r="R42" s="6">
        <f t="shared" si="11"/>
        <v>0.43770103024348844</v>
      </c>
    </row>
    <row r="43" spans="2:18">
      <c r="B43">
        <f t="shared" si="19"/>
        <v>39</v>
      </c>
      <c r="C43" s="4">
        <f t="shared" si="14"/>
        <v>5.6000000000000023</v>
      </c>
      <c r="E43" s="6">
        <f t="shared" si="17"/>
        <v>6.1826205001657686E-8</v>
      </c>
      <c r="F43" s="6">
        <f t="shared" si="18"/>
        <v>0.99999998928240974</v>
      </c>
      <c r="G43" s="6"/>
      <c r="H43" s="6">
        <f t="shared" si="4"/>
        <v>1.6152708957197816E-2</v>
      </c>
      <c r="I43" s="6">
        <f t="shared" si="5"/>
        <v>0.95753462928470157</v>
      </c>
      <c r="J43" s="6"/>
      <c r="K43" s="6">
        <f t="shared" si="6"/>
        <v>5.4863834031750082E-2</v>
      </c>
      <c r="L43" s="6">
        <f t="shared" si="7"/>
        <v>0.76508835402798159</v>
      </c>
      <c r="M43" s="6"/>
      <c r="N43" s="6">
        <f t="shared" si="8"/>
        <v>6.8553946013623107E-2</v>
      </c>
      <c r="O43" s="6">
        <f t="shared" si="9"/>
        <v>0.39080044655761442</v>
      </c>
      <c r="P43" s="6"/>
      <c r="Q43" s="6">
        <f t="shared" si="10"/>
        <v>3.5279274700817348E-2</v>
      </c>
      <c r="R43" s="6">
        <f t="shared" si="11"/>
        <v>0.44487652256575055</v>
      </c>
    </row>
    <row r="44" spans="2:18">
      <c r="B44">
        <f t="shared" si="19"/>
        <v>40</v>
      </c>
      <c r="C44" s="4">
        <f t="shared" si="14"/>
        <v>5.8000000000000025</v>
      </c>
      <c r="E44" s="6">
        <f t="shared" si="17"/>
        <v>1.9773196406244391E-8</v>
      </c>
      <c r="F44" s="6">
        <f t="shared" si="18"/>
        <v>0.99999999668425399</v>
      </c>
      <c r="G44" s="6"/>
      <c r="H44" s="6">
        <f t="shared" si="4"/>
        <v>1.4671789950698778E-2</v>
      </c>
      <c r="I44" s="6">
        <f t="shared" si="5"/>
        <v>0.96061415614760581</v>
      </c>
      <c r="J44" s="6"/>
      <c r="K44" s="6">
        <f t="shared" si="6"/>
        <v>5.1613564540182615E-2</v>
      </c>
      <c r="L44" s="6">
        <f t="shared" si="7"/>
        <v>0.77573197731035104</v>
      </c>
      <c r="M44" s="6"/>
      <c r="N44" s="6">
        <f t="shared" si="8"/>
        <v>6.6795948945757175E-2</v>
      </c>
      <c r="O44" s="6">
        <f t="shared" si="9"/>
        <v>0.40433503558296202</v>
      </c>
      <c r="P44" s="6"/>
      <c r="Q44" s="6">
        <f t="shared" si="10"/>
        <v>3.4140438080030498E-2</v>
      </c>
      <c r="R44" s="6">
        <f t="shared" si="11"/>
        <v>0.45181738308589142</v>
      </c>
    </row>
    <row r="45" spans="2:18">
      <c r="B45">
        <f t="shared" si="19"/>
        <v>41</v>
      </c>
      <c r="C45" s="4">
        <f t="shared" si="14"/>
        <v>6.0000000000000027</v>
      </c>
      <c r="E45" s="6">
        <f t="shared" si="17"/>
        <v>6.0758828498231992E-9</v>
      </c>
      <c r="F45" s="6">
        <f t="shared" si="18"/>
        <v>0.9999999990134123</v>
      </c>
      <c r="G45" s="6"/>
      <c r="H45" s="6">
        <f t="shared" si="4"/>
        <v>1.3354538355053919E-2</v>
      </c>
      <c r="I45" s="6">
        <f t="shared" si="5"/>
        <v>0.96341424808295717</v>
      </c>
      <c r="J45" s="6"/>
      <c r="K45" s="6">
        <f t="shared" si="6"/>
        <v>4.8599621751891142E-2</v>
      </c>
      <c r="L45" s="6">
        <f t="shared" si="7"/>
        <v>0.78574953033514794</v>
      </c>
      <c r="M45" s="6"/>
      <c r="N45" s="6">
        <f t="shared" si="8"/>
        <v>6.5064248307915531E-2</v>
      </c>
      <c r="O45" s="6">
        <f t="shared" si="9"/>
        <v>0.41752058160274946</v>
      </c>
      <c r="P45" s="6"/>
      <c r="Q45" s="6">
        <f t="shared" si="10"/>
        <v>3.3065471511280767E-2</v>
      </c>
      <c r="R45" s="6">
        <f t="shared" si="11"/>
        <v>0.45853695440665992</v>
      </c>
    </row>
    <row r="46" spans="2:18">
      <c r="B46" s="2">
        <f t="shared" si="19"/>
        <v>42</v>
      </c>
      <c r="C46" s="5">
        <f t="shared" si="14"/>
        <v>6.2000000000000028</v>
      </c>
      <c r="D46" s="2"/>
      <c r="E46" s="7">
        <f t="shared" si="17"/>
        <v>1.793783907964054E-9</v>
      </c>
      <c r="F46" s="7">
        <f t="shared" si="18"/>
        <v>0.99999999971768416</v>
      </c>
      <c r="G46" s="7"/>
      <c r="H46" s="7">
        <f t="shared" si="4"/>
        <v>1.2179782368275369E-2</v>
      </c>
      <c r="I46" s="7">
        <f t="shared" si="5"/>
        <v>0.96596546426834218</v>
      </c>
      <c r="J46" s="7"/>
      <c r="K46" s="7">
        <f t="shared" si="6"/>
        <v>4.5801950896915473E-2</v>
      </c>
      <c r="L46" s="7">
        <f t="shared" si="7"/>
        <v>0.79518623995562177</v>
      </c>
      <c r="M46" s="7"/>
      <c r="N46" s="7">
        <f t="shared" si="8"/>
        <v>6.3362739160183534E-2</v>
      </c>
      <c r="O46" s="7">
        <f t="shared" si="9"/>
        <v>0.4303627496381579</v>
      </c>
      <c r="P46" s="7"/>
      <c r="Q46" s="7">
        <f t="shared" si="10"/>
        <v>3.204920584080026E-2</v>
      </c>
      <c r="R46" s="7">
        <f t="shared" si="11"/>
        <v>0.46504748387444306</v>
      </c>
    </row>
    <row r="47" spans="2:18">
      <c r="B47">
        <f t="shared" si="12"/>
        <v>43</v>
      </c>
      <c r="C47" s="4">
        <f t="shared" si="14"/>
        <v>6.400000000000003</v>
      </c>
      <c r="E47" s="6">
        <f t="shared" si="17"/>
        <v>5.0881402816449665E-10</v>
      </c>
      <c r="F47" s="6">
        <f t="shared" si="18"/>
        <v>0.99999999992231148</v>
      </c>
      <c r="G47" s="6"/>
      <c r="H47" s="6">
        <f t="shared" si="4"/>
        <v>1.1129482195547408E-2</v>
      </c>
      <c r="I47" s="6">
        <f t="shared" si="5"/>
        <v>0.96829445230529188</v>
      </c>
      <c r="J47" s="6"/>
      <c r="K47" s="6">
        <f t="shared" si="6"/>
        <v>4.3202381941282411E-2</v>
      </c>
      <c r="L47" s="6">
        <f t="shared" si="7"/>
        <v>0.80408351370800724</v>
      </c>
      <c r="M47" s="6"/>
      <c r="N47" s="6">
        <f t="shared" si="8"/>
        <v>6.1694428168652671E-2</v>
      </c>
      <c r="O47" s="6">
        <f t="shared" si="9"/>
        <v>0.44286789210664684</v>
      </c>
      <c r="P47" s="6"/>
      <c r="Q47" s="6">
        <f t="shared" si="10"/>
        <v>3.1087017596490289E-2</v>
      </c>
      <c r="R47" s="6">
        <f t="shared" si="11"/>
        <v>0.47136024085193662</v>
      </c>
    </row>
    <row r="48" spans="2:18">
      <c r="B48">
        <f t="shared" si="12"/>
        <v>44</v>
      </c>
      <c r="C48" s="4">
        <f t="shared" si="14"/>
        <v>6.6000000000000032</v>
      </c>
      <c r="E48" s="6">
        <f t="shared" si="17"/>
        <v>1.3866799941652826E-10</v>
      </c>
      <c r="F48" s="6">
        <f t="shared" si="18"/>
        <v>0.99999999997944211</v>
      </c>
      <c r="G48" s="6"/>
      <c r="H48" s="6">
        <f t="shared" si="4"/>
        <v>1.018820997152838E-2</v>
      </c>
      <c r="I48" s="6">
        <f t="shared" si="5"/>
        <v>0.97042452083576669</v>
      </c>
      <c r="J48" s="6"/>
      <c r="K48" s="6">
        <f t="shared" si="6"/>
        <v>4.0784447321124878E-2</v>
      </c>
      <c r="L48" s="6">
        <f t="shared" si="7"/>
        <v>0.81247929827967902</v>
      </c>
      <c r="M48" s="6"/>
      <c r="N48" s="6">
        <f t="shared" si="8"/>
        <v>6.0061585731363443E-2</v>
      </c>
      <c r="O48" s="6">
        <f t="shared" si="9"/>
        <v>0.45504288682539928</v>
      </c>
      <c r="P48" s="6"/>
      <c r="Q48" s="6">
        <f t="shared" si="10"/>
        <v>3.017475833483433E-2</v>
      </c>
      <c r="R48" s="6">
        <f t="shared" si="11"/>
        <v>0.47748561859167027</v>
      </c>
    </row>
    <row r="49" spans="2:18">
      <c r="B49">
        <f t="shared" si="12"/>
        <v>45</v>
      </c>
      <c r="C49" s="4">
        <f t="shared" si="14"/>
        <v>6.8000000000000034</v>
      </c>
      <c r="E49" s="6">
        <f t="shared" si="17"/>
        <v>3.6309615017917106E-11</v>
      </c>
      <c r="F49" s="6">
        <f t="shared" si="18"/>
        <v>0.99999999999476907</v>
      </c>
      <c r="G49" s="6"/>
      <c r="H49" s="6">
        <f t="shared" si="4"/>
        <v>9.3427251632269715E-3</v>
      </c>
      <c r="I49" s="6">
        <f t="shared" si="5"/>
        <v>0.9723761180508832</v>
      </c>
      <c r="J49" s="6"/>
      <c r="K49" s="6">
        <f t="shared" si="6"/>
        <v>3.8533214946008011E-2</v>
      </c>
      <c r="L49" s="6">
        <f t="shared" si="7"/>
        <v>0.82040840304870533</v>
      </c>
      <c r="M49" s="6"/>
      <c r="N49" s="6">
        <f t="shared" si="8"/>
        <v>5.8465872469169115E-2</v>
      </c>
      <c r="O49" s="6">
        <f t="shared" si="9"/>
        <v>0.46689500279390639</v>
      </c>
      <c r="P49" s="6"/>
      <c r="Q49" s="6">
        <f t="shared" si="10"/>
        <v>2.9308694759999126E-2</v>
      </c>
      <c r="R49" s="6">
        <f t="shared" si="11"/>
        <v>0.48343322309102249</v>
      </c>
    </row>
    <row r="50" spans="2:18">
      <c r="B50">
        <f t="shared" si="12"/>
        <v>46</v>
      </c>
      <c r="C50" s="4">
        <f t="shared" si="14"/>
        <v>7.0000000000000036</v>
      </c>
      <c r="E50" s="6">
        <f t="shared" si="17"/>
        <v>9.1347204083643658E-12</v>
      </c>
      <c r="F50" s="6">
        <f t="shared" si="18"/>
        <v>0.99999999999872013</v>
      </c>
      <c r="G50" s="6"/>
      <c r="H50" s="6">
        <f t="shared" si="4"/>
        <v>8.5816263139963413E-3</v>
      </c>
      <c r="I50" s="6">
        <f t="shared" si="5"/>
        <v>0.97416723319540788</v>
      </c>
      <c r="J50" s="6"/>
      <c r="K50" s="6">
        <f t="shared" si="6"/>
        <v>3.6435136287448523E-2</v>
      </c>
      <c r="L50" s="6">
        <f t="shared" si="7"/>
        <v>0.82790279174036507</v>
      </c>
      <c r="M50" s="6"/>
      <c r="N50" s="6">
        <f t="shared" si="8"/>
        <v>5.6908444563937829E-2</v>
      </c>
      <c r="O50" s="6">
        <f t="shared" si="9"/>
        <v>0.47843178909214817</v>
      </c>
      <c r="P50" s="6"/>
      <c r="Q50" s="6">
        <f t="shared" si="10"/>
        <v>2.8485457735778121E-2</v>
      </c>
      <c r="R50" s="6">
        <f t="shared" si="11"/>
        <v>0.48921195088832525</v>
      </c>
    </row>
    <row r="51" spans="2:18">
      <c r="B51">
        <f t="shared" si="12"/>
        <v>47</v>
      </c>
      <c r="C51" s="4">
        <f t="shared" si="14"/>
        <v>7.2000000000000037</v>
      </c>
      <c r="E51" s="6">
        <f t="shared" si="17"/>
        <v>2.2079899631370843E-12</v>
      </c>
      <c r="F51" s="6">
        <f t="shared" si="18"/>
        <v>0.99999999999969891</v>
      </c>
      <c r="G51" s="6"/>
      <c r="H51" s="6">
        <f t="shared" si="4"/>
        <v>7.8950641344860753E-3</v>
      </c>
      <c r="I51" s="6">
        <f t="shared" si="5"/>
        <v>0.97581373477658451</v>
      </c>
      <c r="J51" s="6"/>
      <c r="K51" s="6">
        <f t="shared" si="6"/>
        <v>3.4477908897336373E-2</v>
      </c>
      <c r="L51" s="6">
        <f t="shared" si="7"/>
        <v>0.83499184515796543</v>
      </c>
      <c r="M51" s="6"/>
      <c r="N51" s="6">
        <f t="shared" si="8"/>
        <v>5.5390041603688649E-2</v>
      </c>
      <c r="O51" s="6">
        <f t="shared" si="9"/>
        <v>0.48966098304208294</v>
      </c>
      <c r="P51" s="6"/>
      <c r="Q51" s="6">
        <f t="shared" si="10"/>
        <v>2.7701998678367916E-2</v>
      </c>
      <c r="R51" s="6">
        <f t="shared" si="11"/>
        <v>0.49483005742202985</v>
      </c>
    </row>
    <row r="52" spans="2:18">
      <c r="B52">
        <f t="shared" ref="B52:B54" si="20">B51+1</f>
        <v>48</v>
      </c>
      <c r="C52" s="4">
        <f t="shared" ref="C52:C54" si="21">C51+0.2</f>
        <v>7.4000000000000039</v>
      </c>
      <c r="E52" s="6">
        <f t="shared" si="17"/>
        <v>5.1277536367965357E-13</v>
      </c>
      <c r="F52" s="6">
        <f t="shared" si="18"/>
        <v>0.99999999999993194</v>
      </c>
      <c r="G52" s="6"/>
      <c r="H52" s="6">
        <f t="shared" si="4"/>
        <v>7.2745041302693016E-3</v>
      </c>
      <c r="I52" s="6">
        <f t="shared" si="5"/>
        <v>0.97732965651925074</v>
      </c>
      <c r="J52" s="6"/>
      <c r="K52" s="6">
        <f t="shared" si="6"/>
        <v>3.2650352440187422E-2</v>
      </c>
      <c r="L52" s="6">
        <f t="shared" si="7"/>
        <v>0.84170259778535927</v>
      </c>
      <c r="M52" s="6"/>
      <c r="N52" s="6">
        <f t="shared" si="8"/>
        <v>5.3911059929724635E-2</v>
      </c>
      <c r="O52" s="6">
        <f t="shared" si="9"/>
        <v>0.50059043444327378</v>
      </c>
      <c r="P52" s="6"/>
      <c r="Q52" s="6">
        <f t="shared" si="10"/>
        <v>2.6955552106149999E-2</v>
      </c>
      <c r="R52" s="6">
        <f t="shared" si="11"/>
        <v>0.5002952173024674</v>
      </c>
    </row>
    <row r="53" spans="2:18">
      <c r="B53">
        <f t="shared" si="20"/>
        <v>49</v>
      </c>
      <c r="C53" s="4">
        <f t="shared" si="21"/>
        <v>7.6000000000000041</v>
      </c>
      <c r="E53" s="6">
        <f t="shared" si="17"/>
        <v>1.1441564901801004E-13</v>
      </c>
      <c r="F53" s="6">
        <f t="shared" si="18"/>
        <v>0.99999999999998523</v>
      </c>
      <c r="G53" s="6"/>
      <c r="H53" s="6">
        <f t="shared" si="4"/>
        <v>6.7125294152651852E-3</v>
      </c>
      <c r="I53" s="6">
        <f t="shared" si="5"/>
        <v>0.97872744000353296</v>
      </c>
      <c r="J53" s="6"/>
      <c r="K53" s="6">
        <f t="shared" si="6"/>
        <v>3.0942297198817505E-2</v>
      </c>
      <c r="L53" s="6">
        <f t="shared" si="7"/>
        <v>0.84805995086111396</v>
      </c>
      <c r="M53" s="6"/>
      <c r="N53" s="6">
        <f t="shared" si="8"/>
        <v>5.2471613942926737E-2</v>
      </c>
      <c r="O53" s="6">
        <f t="shared" si="9"/>
        <v>0.51122804323681703</v>
      </c>
      <c r="P53" s="6"/>
      <c r="Q53" s="6">
        <f t="shared" si="10"/>
        <v>2.6243603350247162E-2</v>
      </c>
      <c r="R53" s="6">
        <f t="shared" si="11"/>
        <v>0.50561457762461459</v>
      </c>
    </row>
    <row r="54" spans="2:18">
      <c r="B54">
        <f t="shared" si="20"/>
        <v>50</v>
      </c>
      <c r="C54" s="4">
        <f t="shared" si="21"/>
        <v>7.8000000000000043</v>
      </c>
      <c r="E54" s="6">
        <f t="shared" si="17"/>
        <v>2.4528552856963453E-14</v>
      </c>
      <c r="F54" s="6">
        <f t="shared" si="18"/>
        <v>0.99999999999999689</v>
      </c>
      <c r="G54" s="6"/>
      <c r="H54" s="6">
        <f t="shared" si="4"/>
        <v>6.2026762703128457E-3</v>
      </c>
      <c r="I54" s="6">
        <f t="shared" si="5"/>
        <v>0.98001814125021114</v>
      </c>
      <c r="J54" s="6"/>
      <c r="K54" s="6">
        <f t="shared" si="6"/>
        <v>2.9344483975690644E-2</v>
      </c>
      <c r="L54" s="6">
        <f t="shared" si="7"/>
        <v>0.8540868643113313</v>
      </c>
      <c r="M54" s="6"/>
      <c r="N54" s="6">
        <f t="shared" si="8"/>
        <v>5.1071587389957346E-2</v>
      </c>
      <c r="O54" s="6">
        <f t="shared" si="9"/>
        <v>0.52158170839802387</v>
      </c>
      <c r="P54" s="6"/>
      <c r="Q54" s="6">
        <f t="shared" si="10"/>
        <v>2.5563860610504578E-2</v>
      </c>
      <c r="R54" s="6">
        <f t="shared" si="11"/>
        <v>0.51079480526979992</v>
      </c>
    </row>
    <row r="55" spans="2:18">
      <c r="B55">
        <f t="shared" ref="B55:B101" si="22">B54+1</f>
        <v>51</v>
      </c>
      <c r="C55" s="4">
        <f t="shared" ref="C55:C101" si="23">C54+0.2</f>
        <v>8.0000000000000036</v>
      </c>
      <c r="E55" s="6">
        <f t="shared" si="17"/>
        <v>5.0522710835367492E-15</v>
      </c>
      <c r="F55" s="6">
        <f t="shared" si="18"/>
        <v>0.99999999999999933</v>
      </c>
      <c r="G55" s="6"/>
      <c r="H55" s="6">
        <f t="shared" si="4"/>
        <v>5.739296497825187E-3</v>
      </c>
      <c r="I55" s="6">
        <f t="shared" si="5"/>
        <v>0.98121160718594491</v>
      </c>
      <c r="J55" s="6"/>
      <c r="K55" s="6">
        <f t="shared" si="6"/>
        <v>2.7848474328898528E-2</v>
      </c>
      <c r="L55" s="6">
        <f t="shared" si="7"/>
        <v>0.85980452971354981</v>
      </c>
      <c r="M55" s="6"/>
      <c r="N55" s="6">
        <f t="shared" si="8"/>
        <v>4.9710676295172535E-2</v>
      </c>
      <c r="O55" s="6">
        <f t="shared" si="9"/>
        <v>0.53165928622573833</v>
      </c>
      <c r="P55" s="6"/>
      <c r="Q55" s="6">
        <f t="shared" si="10"/>
        <v>2.4914230686165089E-2</v>
      </c>
      <c r="R55" s="6">
        <f t="shared" si="11"/>
        <v>0.51584212899620963</v>
      </c>
    </row>
    <row r="56" spans="2:18">
      <c r="B56">
        <f t="shared" si="22"/>
        <v>52</v>
      </c>
      <c r="C56" s="4">
        <f t="shared" si="23"/>
        <v>8.2000000000000028</v>
      </c>
      <c r="E56" s="6">
        <f t="shared" si="17"/>
        <v>9.9983787484968954E-16</v>
      </c>
      <c r="F56" s="6">
        <f t="shared" si="18"/>
        <v>0.99999999999999989</v>
      </c>
      <c r="G56" s="6"/>
      <c r="H56" s="6">
        <f t="shared" si="4"/>
        <v>5.3174417940691611E-3</v>
      </c>
      <c r="I56" s="6">
        <f t="shared" si="5"/>
        <v>0.98231662685248156</v>
      </c>
      <c r="J56" s="6"/>
      <c r="K56" s="6">
        <f t="shared" si="6"/>
        <v>2.6446570130590447E-2</v>
      </c>
      <c r="L56" s="6">
        <f t="shared" si="7"/>
        <v>0.8652325262564402</v>
      </c>
      <c r="M56" s="6"/>
      <c r="N56" s="6">
        <f t="shared" si="8"/>
        <v>4.8388424914645706E-2</v>
      </c>
      <c r="O56" s="6">
        <f t="shared" si="9"/>
        <v>0.54146855649942738</v>
      </c>
      <c r="P56" s="6"/>
      <c r="Q56" s="6">
        <f t="shared" si="10"/>
        <v>2.4292797826786346E-2</v>
      </c>
      <c r="R56" s="6">
        <f t="shared" si="11"/>
        <v>0.52076237699594952</v>
      </c>
    </row>
    <row r="57" spans="2:18">
      <c r="B57">
        <f t="shared" si="22"/>
        <v>53</v>
      </c>
      <c r="C57" s="4">
        <f t="shared" si="23"/>
        <v>8.4000000000000021</v>
      </c>
      <c r="E57" s="6">
        <f t="shared" si="17"/>
        <v>1.9010815379079371E-16</v>
      </c>
      <c r="F57" s="6">
        <f t="shared" si="18"/>
        <v>1</v>
      </c>
      <c r="G57" s="6"/>
      <c r="H57" s="6">
        <f t="shared" si="4"/>
        <v>4.9327662838718131E-3</v>
      </c>
      <c r="I57" s="6">
        <f t="shared" si="5"/>
        <v>0.98334106136420385</v>
      </c>
      <c r="J57" s="6"/>
      <c r="K57" s="6">
        <f t="shared" si="6"/>
        <v>2.5131741502266068E-2</v>
      </c>
      <c r="L57" s="6">
        <f t="shared" si="7"/>
        <v>0.87038896146402256</v>
      </c>
      <c r="M57" s="6"/>
      <c r="N57" s="6">
        <f t="shared" si="8"/>
        <v>4.7104255852160395E-2</v>
      </c>
      <c r="O57" s="6">
        <f t="shared" si="9"/>
        <v>0.5510171952260039</v>
      </c>
      <c r="P57" s="6"/>
      <c r="Q57" s="6">
        <f t="shared" si="10"/>
        <v>2.3697805242948095E-2</v>
      </c>
      <c r="R57" s="6">
        <f t="shared" si="11"/>
        <v>0.52556101049525861</v>
      </c>
    </row>
    <row r="58" spans="2:18">
      <c r="B58">
        <f t="shared" si="22"/>
        <v>54</v>
      </c>
      <c r="C58" s="4">
        <f t="shared" si="23"/>
        <v>8.6000000000000014</v>
      </c>
      <c r="E58" s="6">
        <f t="shared" si="17"/>
        <v>3.4729627485661583E-17</v>
      </c>
      <c r="F58" s="6">
        <f t="shared" si="18"/>
        <v>1</v>
      </c>
      <c r="G58" s="6"/>
      <c r="H58" s="6">
        <f t="shared" si="4"/>
        <v>4.5814440941606424E-3</v>
      </c>
      <c r="I58" s="6">
        <f t="shared" si="5"/>
        <v>0.98429195592330865</v>
      </c>
      <c r="J58" s="6"/>
      <c r="K58" s="6">
        <f t="shared" si="6"/>
        <v>2.3897562256263105E-2</v>
      </c>
      <c r="L58" s="6">
        <f t="shared" si="7"/>
        <v>0.87529059827142874</v>
      </c>
      <c r="M58" s="6"/>
      <c r="N58" s="6">
        <f t="shared" si="8"/>
        <v>4.5857495283214721E-2</v>
      </c>
      <c r="O58" s="6">
        <f t="shared" si="9"/>
        <v>0.56031275290630689</v>
      </c>
      <c r="P58" s="6"/>
      <c r="Q58" s="6">
        <f t="shared" si="10"/>
        <v>2.3127638892674947E-2</v>
      </c>
      <c r="R58" s="6">
        <f t="shared" si="11"/>
        <v>0.53024315389028143</v>
      </c>
    </row>
    <row r="59" spans="2:18">
      <c r="B59">
        <f t="shared" si="22"/>
        <v>55</v>
      </c>
      <c r="C59" s="4">
        <f t="shared" si="23"/>
        <v>8.8000000000000007</v>
      </c>
      <c r="E59" s="6">
        <f t="shared" si="17"/>
        <v>6.095758129562418E-18</v>
      </c>
      <c r="F59" s="6">
        <f t="shared" si="18"/>
        <v>1</v>
      </c>
      <c r="G59" s="6"/>
      <c r="H59" s="6">
        <f t="shared" si="4"/>
        <v>4.2600994251420369E-3</v>
      </c>
      <c r="I59" s="6">
        <f t="shared" si="5"/>
        <v>0.98517563663761676</v>
      </c>
      <c r="J59" s="6"/>
      <c r="K59" s="6">
        <f t="shared" si="6"/>
        <v>2.2738152050000716E-2</v>
      </c>
      <c r="L59" s="6">
        <f t="shared" si="7"/>
        <v>0.87995296987282412</v>
      </c>
      <c r="M59" s="6"/>
      <c r="N59" s="6">
        <f t="shared" si="8"/>
        <v>4.4647394073884877E-2</v>
      </c>
      <c r="O59" s="6">
        <f t="shared" si="9"/>
        <v>0.56936263742392201</v>
      </c>
      <c r="P59" s="6"/>
      <c r="Q59" s="6">
        <f t="shared" si="10"/>
        <v>2.2580813221864848E-2</v>
      </c>
      <c r="R59" s="6">
        <f t="shared" si="11"/>
        <v>0.53481362184042802</v>
      </c>
    </row>
    <row r="60" spans="2:18">
      <c r="B60">
        <f t="shared" si="22"/>
        <v>56</v>
      </c>
      <c r="C60" s="4">
        <f t="shared" si="23"/>
        <v>9</v>
      </c>
      <c r="E60" s="6">
        <f t="shared" si="17"/>
        <v>1.0279773571668917E-18</v>
      </c>
      <c r="F60" s="6">
        <f t="shared" si="18"/>
        <v>1</v>
      </c>
      <c r="G60" s="6"/>
      <c r="H60" s="6">
        <f t="shared" si="4"/>
        <v>3.9657470435727586E-3</v>
      </c>
      <c r="I60" s="6">
        <f t="shared" si="5"/>
        <v>0.98599779442605495</v>
      </c>
      <c r="J60" s="6"/>
      <c r="K60" s="6">
        <f t="shared" si="6"/>
        <v>2.1648124535324491E-2</v>
      </c>
      <c r="L60" s="6">
        <f t="shared" si="7"/>
        <v>0.88439048361103156</v>
      </c>
      <c r="M60" s="6"/>
      <c r="N60" s="6">
        <f t="shared" si="8"/>
        <v>4.3473145450320966E-2</v>
      </c>
      <c r="O60" s="6">
        <f t="shared" si="9"/>
        <v>0.57817410080287324</v>
      </c>
      <c r="P60" s="6"/>
      <c r="Q60" s="6">
        <f t="shared" si="10"/>
        <v>2.2055958588170194E-2</v>
      </c>
      <c r="R60" s="6">
        <f t="shared" si="11"/>
        <v>0.53927694368229939</v>
      </c>
    </row>
    <row r="61" spans="2:18">
      <c r="B61">
        <f t="shared" si="22"/>
        <v>57</v>
      </c>
      <c r="C61" s="4">
        <f t="shared" si="23"/>
        <v>9.1999999999999993</v>
      </c>
      <c r="E61" s="6">
        <f t="shared" si="17"/>
        <v>1.665588032379929E-19</v>
      </c>
      <c r="F61" s="6">
        <f t="shared" si="18"/>
        <v>1</v>
      </c>
      <c r="G61" s="6"/>
      <c r="H61" s="6">
        <f t="shared" si="4"/>
        <v>3.6957414964678271E-3</v>
      </c>
      <c r="I61" s="6">
        <f t="shared" si="5"/>
        <v>0.9867635579204902</v>
      </c>
      <c r="J61" s="6"/>
      <c r="K61" s="6">
        <f t="shared" si="6"/>
        <v>2.0622540857415859E-2</v>
      </c>
      <c r="L61" s="6">
        <f t="shared" si="7"/>
        <v>0.8886165150421651</v>
      </c>
      <c r="M61" s="6"/>
      <c r="N61" s="6">
        <f t="shared" si="8"/>
        <v>4.2333899766481185E-2</v>
      </c>
      <c r="O61" s="6">
        <f t="shared" si="9"/>
        <v>0.58675422920070752</v>
      </c>
      <c r="P61" s="6"/>
      <c r="Q61" s="6">
        <f t="shared" si="10"/>
        <v>2.155181013993163E-2</v>
      </c>
      <c r="R61" s="6">
        <f t="shared" si="11"/>
        <v>0.54363738547739082</v>
      </c>
    </row>
    <row r="62" spans="2:18">
      <c r="B62">
        <f t="shared" si="22"/>
        <v>58</v>
      </c>
      <c r="C62" s="4">
        <f t="shared" si="23"/>
        <v>9.3999999999999986</v>
      </c>
      <c r="E62" s="6">
        <f t="shared" si="17"/>
        <v>2.5928647011004261E-20</v>
      </c>
      <c r="F62" s="6">
        <f t="shared" si="18"/>
        <v>1</v>
      </c>
      <c r="G62" s="6"/>
      <c r="H62" s="6">
        <f t="shared" si="4"/>
        <v>3.4477336450216439E-3</v>
      </c>
      <c r="I62" s="6">
        <f t="shared" si="5"/>
        <v>0.98747755696347439</v>
      </c>
      <c r="J62" s="6"/>
      <c r="K62" s="6">
        <f t="shared" si="6"/>
        <v>1.9656867924947138E-2</v>
      </c>
      <c r="L62" s="6">
        <f t="shared" si="7"/>
        <v>0.892643493186277</v>
      </c>
      <c r="M62" s="6"/>
      <c r="N62" s="6">
        <f t="shared" si="8"/>
        <v>4.1228776828233879E-2</v>
      </c>
      <c r="O62" s="6">
        <f t="shared" si="9"/>
        <v>0.595109935603789</v>
      </c>
      <c r="P62" s="6"/>
      <c r="Q62" s="6">
        <f t="shared" si="10"/>
        <v>2.1067197956643968E-2</v>
      </c>
      <c r="R62" s="6">
        <f t="shared" si="11"/>
        <v>0.54789896996470189</v>
      </c>
    </row>
    <row r="63" spans="2:18">
      <c r="B63">
        <f t="shared" si="22"/>
        <v>59</v>
      </c>
      <c r="C63" s="4">
        <f t="shared" si="23"/>
        <v>9.5999999999999979</v>
      </c>
      <c r="E63" s="6">
        <f t="shared" si="17"/>
        <v>3.8781119317470434E-21</v>
      </c>
      <c r="F63" s="6">
        <f t="shared" si="18"/>
        <v>1</v>
      </c>
      <c r="G63" s="6"/>
      <c r="H63" s="6">
        <f t="shared" si="4"/>
        <v>3.2196333624966308E-3</v>
      </c>
      <c r="I63" s="6">
        <f t="shared" si="5"/>
        <v>0.98814397804666398</v>
      </c>
      <c r="J63" s="6"/>
      <c r="K63" s="6">
        <f t="shared" si="6"/>
        <v>1.8746940934923666E-2</v>
      </c>
      <c r="L63" s="6">
        <f t="shared" si="7"/>
        <v>0.89648297786562836</v>
      </c>
      <c r="M63" s="6"/>
      <c r="N63" s="6">
        <f t="shared" si="8"/>
        <v>4.0156876157785647E-2</v>
      </c>
      <c r="O63" s="6">
        <f t="shared" si="9"/>
        <v>0.60324795477559379</v>
      </c>
      <c r="P63" s="6"/>
      <c r="Q63" s="6">
        <f t="shared" si="10"/>
        <v>2.0601038286412191E-2</v>
      </c>
      <c r="R63" s="6">
        <f t="shared" si="11"/>
        <v>0.55206549465366672</v>
      </c>
    </row>
    <row r="64" spans="2:18">
      <c r="B64">
        <f t="shared" si="22"/>
        <v>60</v>
      </c>
      <c r="C64" s="4">
        <f t="shared" si="23"/>
        <v>9.7999999999999972</v>
      </c>
      <c r="E64" s="6">
        <f t="shared" si="17"/>
        <v>5.5730000227208887E-22</v>
      </c>
      <c r="F64" s="6">
        <f t="shared" si="18"/>
        <v>1</v>
      </c>
      <c r="G64" s="6"/>
      <c r="H64" s="6">
        <f t="shared" si="4"/>
        <v>3.0095774380555964E-3</v>
      </c>
      <c r="I64" s="6">
        <f t="shared" si="5"/>
        <v>0.9887666128239333</v>
      </c>
      <c r="J64" s="6"/>
      <c r="K64" s="6">
        <f t="shared" si="6"/>
        <v>1.7888929691809167E-2</v>
      </c>
      <c r="L64" s="6">
        <f t="shared" si="7"/>
        <v>0.90014572993459085</v>
      </c>
      <c r="M64" s="6"/>
      <c r="N64" s="6">
        <f t="shared" si="8"/>
        <v>3.9117285520770317E-2</v>
      </c>
      <c r="O64" s="6">
        <f t="shared" si="9"/>
        <v>0.61117484007924117</v>
      </c>
      <c r="P64" s="6"/>
      <c r="Q64" s="6">
        <f t="shared" si="10"/>
        <v>2.0152325740026903E-2</v>
      </c>
      <c r="R64" s="6">
        <f t="shared" si="11"/>
        <v>0.55614054826239823</v>
      </c>
    </row>
    <row r="65" spans="2:18">
      <c r="B65">
        <f t="shared" si="22"/>
        <v>61</v>
      </c>
      <c r="C65" s="4">
        <f t="shared" si="23"/>
        <v>9.9999999999999964</v>
      </c>
      <c r="E65" s="6">
        <f t="shared" si="17"/>
        <v>7.6945986267066927E-23</v>
      </c>
      <c r="F65" s="6">
        <f t="shared" si="18"/>
        <v>1</v>
      </c>
      <c r="G65" s="6"/>
      <c r="H65" s="6">
        <f t="shared" si="4"/>
        <v>2.8159018901526868E-3</v>
      </c>
      <c r="I65" s="6">
        <f t="shared" si="5"/>
        <v>0.98934890065829983</v>
      </c>
      <c r="J65" s="6"/>
      <c r="K65" s="6">
        <f t="shared" si="6"/>
        <v>1.7079308311203589E-2</v>
      </c>
      <c r="L65" s="6">
        <f t="shared" si="7"/>
        <v>0.90364177511826438</v>
      </c>
      <c r="M65" s="6"/>
      <c r="N65" s="6">
        <f t="shared" si="8"/>
        <v>3.8109087987032615E-2</v>
      </c>
      <c r="O65" s="6">
        <f t="shared" si="9"/>
        <v>0.61889696185467413</v>
      </c>
      <c r="P65" s="6"/>
      <c r="Q65" s="6">
        <f t="shared" si="10"/>
        <v>1.9720126321522605E-2</v>
      </c>
      <c r="R65" s="6">
        <f t="shared" si="11"/>
        <v>0.56012752568024593</v>
      </c>
    </row>
    <row r="66" spans="2:18">
      <c r="B66">
        <f t="shared" si="22"/>
        <v>62</v>
      </c>
      <c r="C66" s="4">
        <f t="shared" si="23"/>
        <v>10.199999999999996</v>
      </c>
      <c r="E66" s="6">
        <f t="shared" si="17"/>
        <v>1.0207305594306536E-23</v>
      </c>
      <c r="F66" s="6">
        <f t="shared" si="18"/>
        <v>1</v>
      </c>
      <c r="G66" s="6"/>
      <c r="H66" s="6">
        <f t="shared" si="4"/>
        <v>2.6371180253699695E-3</v>
      </c>
      <c r="I66" s="6">
        <f t="shared" si="5"/>
        <v>0.9898939660161713</v>
      </c>
      <c r="J66" s="6"/>
      <c r="K66" s="6">
        <f t="shared" si="6"/>
        <v>1.631482794381078E-2</v>
      </c>
      <c r="L66" s="6">
        <f t="shared" si="7"/>
        <v>0.90698046209957639</v>
      </c>
      <c r="M66" s="6"/>
      <c r="N66" s="6">
        <f t="shared" si="8"/>
        <v>3.7131367753345038E-2</v>
      </c>
      <c r="O66" s="6">
        <f t="shared" si="9"/>
        <v>0.62642050708070462</v>
      </c>
      <c r="P66" s="6"/>
      <c r="Q66" s="6">
        <f t="shared" si="10"/>
        <v>1.9303571192083261E-2</v>
      </c>
      <c r="R66" s="6">
        <f t="shared" si="11"/>
        <v>0.56402964161139335</v>
      </c>
    </row>
    <row r="67" spans="2:18">
      <c r="B67">
        <f t="shared" si="22"/>
        <v>63</v>
      </c>
      <c r="C67" s="4">
        <f t="shared" si="23"/>
        <v>10.399999999999995</v>
      </c>
      <c r="E67" s="6">
        <f t="shared" si="17"/>
        <v>1.300961619923987E-24</v>
      </c>
      <c r="F67" s="6">
        <f t="shared" si="18"/>
        <v>1</v>
      </c>
      <c r="G67" s="6"/>
      <c r="H67" s="6">
        <f t="shared" si="4"/>
        <v>2.4718916871989552E-3</v>
      </c>
      <c r="I67" s="6">
        <f t="shared" si="5"/>
        <v>0.99040465140081502</v>
      </c>
      <c r="J67" s="6"/>
      <c r="K67" s="6">
        <f t="shared" si="6"/>
        <v>1.5592492196059521E-2</v>
      </c>
      <c r="L67" s="6">
        <f t="shared" si="7"/>
        <v>0.91017051542592098</v>
      </c>
      <c r="M67" s="6"/>
      <c r="N67" s="6">
        <f t="shared" si="8"/>
        <v>3.6183214920526979E-2</v>
      </c>
      <c r="O67" s="6">
        <f t="shared" si="9"/>
        <v>0.63375148009410009</v>
      </c>
      <c r="P67" s="6"/>
      <c r="Q67" s="6">
        <f t="shared" si="10"/>
        <v>1.8901851078492252E-2</v>
      </c>
      <c r="R67" s="6">
        <f t="shared" si="11"/>
        <v>0.56784994303706382</v>
      </c>
    </row>
    <row r="68" spans="2:18">
      <c r="B68">
        <f t="shared" si="22"/>
        <v>64</v>
      </c>
      <c r="C68" s="4">
        <f t="shared" si="23"/>
        <v>10.599999999999994</v>
      </c>
      <c r="E68" s="6">
        <f t="shared" si="17"/>
        <v>1.5931111327010572E-25</v>
      </c>
      <c r="F68" s="6">
        <f t="shared" si="18"/>
        <v>1</v>
      </c>
      <c r="G68" s="6"/>
      <c r="H68" s="6">
        <f t="shared" si="4"/>
        <v>2.3190252287436136E-3</v>
      </c>
      <c r="I68" s="6">
        <f t="shared" si="5"/>
        <v>0.99088354641508336</v>
      </c>
      <c r="J68" s="6"/>
      <c r="K68" s="6">
        <f t="shared" si="6"/>
        <v>1.4909534959929107E-2</v>
      </c>
      <c r="L68" s="6">
        <f t="shared" si="7"/>
        <v>0.91322008374535202</v>
      </c>
      <c r="M68" s="6"/>
      <c r="N68" s="6">
        <f t="shared" si="8"/>
        <v>3.526372938748449E-2</v>
      </c>
      <c r="O68" s="6">
        <f t="shared" si="9"/>
        <v>0.64089570417329822</v>
      </c>
      <c r="P68" s="6"/>
      <c r="Q68" s="6">
        <f t="shared" si="10"/>
        <v>1.8514211249446518E-2</v>
      </c>
      <c r="R68" s="6">
        <f t="shared" si="11"/>
        <v>0.57159132061738882</v>
      </c>
    </row>
    <row r="69" spans="2:18">
      <c r="B69">
        <f t="shared" si="22"/>
        <v>65</v>
      </c>
      <c r="C69" s="4">
        <f t="shared" si="23"/>
        <v>10.799999999999994</v>
      </c>
      <c r="E69" s="6">
        <f t="shared" ref="E69:E101" si="24">_xlfn.NORM.DIST($C69,E$2,E$3,0)</f>
        <v>1.874372402341943E-26</v>
      </c>
      <c r="F69" s="6">
        <f t="shared" ref="F69:F100" si="25">_xlfn.NORM.DIST($C69,E$2,E$3,1)</f>
        <v>1</v>
      </c>
      <c r="G69" s="6"/>
      <c r="H69" s="6">
        <f t="shared" si="4"/>
        <v>2.1774418172714818E-3</v>
      </c>
      <c r="I69" s="6">
        <f t="shared" si="5"/>
        <v>0.99133301345785441</v>
      </c>
      <c r="J69" s="6"/>
      <c r="K69" s="6">
        <f t="shared" si="6"/>
        <v>1.4263400396687919E-2</v>
      </c>
      <c r="L69" s="6">
        <f t="shared" si="7"/>
        <v>0.91613678382814046</v>
      </c>
      <c r="M69" s="6"/>
      <c r="N69" s="6">
        <f t="shared" si="8"/>
        <v>3.4372023999560804E-2</v>
      </c>
      <c r="O69" s="6">
        <f t="shared" si="9"/>
        <v>0.64785882382426108</v>
      </c>
      <c r="P69" s="6"/>
      <c r="Q69" s="6">
        <f t="shared" si="10"/>
        <v>1.8139946993341434E-2</v>
      </c>
      <c r="R69" s="6">
        <f t="shared" si="11"/>
        <v>0.5752565191397172</v>
      </c>
    </row>
    <row r="70" spans="2:18">
      <c r="B70">
        <f t="shared" si="22"/>
        <v>66</v>
      </c>
      <c r="C70" s="4">
        <f t="shared" si="23"/>
        <v>10.999999999999993</v>
      </c>
      <c r="E70" s="6">
        <f t="shared" si="24"/>
        <v>2.1188192535095195E-27</v>
      </c>
      <c r="F70" s="6">
        <f t="shared" si="25"/>
        <v>1</v>
      </c>
      <c r="G70" s="6"/>
      <c r="H70" s="6">
        <f t="shared" ref="H70:H101" si="26">_xlfn.LOGNORM.DIST($C70,H$2,H$3,0)</f>
        <v>2.0461717398445917E-3</v>
      </c>
      <c r="I70" s="6">
        <f t="shared" ref="I70:I101" si="27">_xlfn.LOGNORM.DIST($C70,H$2,H$3,1)</f>
        <v>0.99175521048654902</v>
      </c>
      <c r="J70" s="6"/>
      <c r="K70" s="6">
        <f t="shared" ref="K70:K101" si="28">_xlfn.LOGNORM.DIST($C70,K$2,K$3,0)</f>
        <v>1.3651724847786172E-2</v>
      </c>
      <c r="L70" s="6">
        <f t="shared" ref="L70:L101" si="29">_xlfn.LOGNORM.DIST($C70,K$2,K$3,1)</f>
        <v>0.9189277407813542</v>
      </c>
      <c r="M70" s="6"/>
      <c r="N70" s="6">
        <f t="shared" ref="N70:N101" si="30">_xlfn.LOGNORM.DIST($C70,N$2,N$3,0)</f>
        <v>3.3507227067477045E-2</v>
      </c>
      <c r="O70" s="6">
        <f t="shared" ref="O70:O101" si="31">_xlfn.LOGNORM.DIST($C70,N$2,N$3,1)</f>
        <v>0.65464630763127518</v>
      </c>
      <c r="P70" s="6"/>
      <c r="Q70" s="6">
        <f t="shared" ref="Q70:Q101" si="32">_xlfn.LOGNORM.DIST($C70,Q$2,Q$3,0)</f>
        <v>1.777839953988819E-2</v>
      </c>
      <c r="R70" s="6">
        <f t="shared" ref="R70:R101" si="33">_xlfn.LOGNORM.DIST($C70,Q$2,Q$3,1)</f>
        <v>0.57884814710775756</v>
      </c>
    </row>
    <row r="71" spans="2:18">
      <c r="B71">
        <f t="shared" si="22"/>
        <v>67</v>
      </c>
      <c r="C71" s="4">
        <f t="shared" si="23"/>
        <v>11.199999999999992</v>
      </c>
      <c r="E71" s="6">
        <f t="shared" si="24"/>
        <v>2.301230708848335E-28</v>
      </c>
      <c r="F71" s="6">
        <f t="shared" si="25"/>
        <v>1</v>
      </c>
      <c r="G71" s="6"/>
      <c r="H71" s="6">
        <f t="shared" si="26"/>
        <v>1.9243404302363852E-3</v>
      </c>
      <c r="I71" s="6">
        <f t="shared" si="27"/>
        <v>0.99215211121719005</v>
      </c>
      <c r="J71" s="6"/>
      <c r="K71" s="6">
        <f t="shared" si="28"/>
        <v>1.3072320471425229E-2</v>
      </c>
      <c r="L71" s="6">
        <f t="shared" si="29"/>
        <v>0.92159962482134639</v>
      </c>
      <c r="M71" s="6"/>
      <c r="N71" s="6">
        <f t="shared" si="30"/>
        <v>3.2668484355367927E-2</v>
      </c>
      <c r="O71" s="6">
        <f t="shared" si="31"/>
        <v>0.66126345155694199</v>
      </c>
      <c r="P71" s="6"/>
      <c r="Q71" s="6">
        <f t="shared" si="32"/>
        <v>1.7428952375398293E-2</v>
      </c>
      <c r="R71" s="6">
        <f t="shared" si="33"/>
        <v>0.58236868555519272</v>
      </c>
    </row>
    <row r="72" spans="2:18">
      <c r="B72">
        <f t="shared" si="22"/>
        <v>68</v>
      </c>
      <c r="C72" s="4">
        <f t="shared" si="23"/>
        <v>11.399999999999991</v>
      </c>
      <c r="E72" s="6">
        <f t="shared" si="24"/>
        <v>2.4013454000087747E-29</v>
      </c>
      <c r="F72" s="6">
        <f t="shared" si="25"/>
        <v>1</v>
      </c>
      <c r="G72" s="6"/>
      <c r="H72" s="6">
        <f t="shared" si="26"/>
        <v>1.8111579798479305E-3</v>
      </c>
      <c r="I72" s="6">
        <f t="shared" si="27"/>
        <v>0.99252552308188247</v>
      </c>
      <c r="J72" s="6"/>
      <c r="K72" s="6">
        <f t="shared" si="28"/>
        <v>1.2523160425715019E-2</v>
      </c>
      <c r="L72" s="6">
        <f t="shared" si="29"/>
        <v>0.92415868493102904</v>
      </c>
      <c r="M72" s="6"/>
      <c r="N72" s="6">
        <f t="shared" si="30"/>
        <v>3.1854960621438631E-2</v>
      </c>
      <c r="O72" s="6">
        <f t="shared" si="31"/>
        <v>0.66771538259375496</v>
      </c>
      <c r="P72" s="6"/>
      <c r="Q72" s="6">
        <f t="shared" si="32"/>
        <v>1.7091027907967928E-2</v>
      </c>
      <c r="R72" s="6">
        <f t="shared" si="33"/>
        <v>0.58582049615801957</v>
      </c>
    </row>
    <row r="73" spans="2:18">
      <c r="B73">
        <f t="shared" si="22"/>
        <v>69</v>
      </c>
      <c r="C73" s="4">
        <f t="shared" si="23"/>
        <v>11.599999999999991</v>
      </c>
      <c r="E73" s="6">
        <f t="shared" si="24"/>
        <v>2.4075611318395745E-30</v>
      </c>
      <c r="F73" s="6">
        <f t="shared" si="25"/>
        <v>1</v>
      </c>
      <c r="G73" s="6"/>
      <c r="H73" s="6">
        <f t="shared" si="26"/>
        <v>1.7059099308822934E-3</v>
      </c>
      <c r="I73" s="6">
        <f t="shared" si="27"/>
        <v>0.99287710321980183</v>
      </c>
      <c r="J73" s="6"/>
      <c r="K73" s="6">
        <f t="shared" si="28"/>
        <v>1.2002365439145096E-2</v>
      </c>
      <c r="L73" s="6">
        <f t="shared" si="29"/>
        <v>0.92661077969501182</v>
      </c>
      <c r="M73" s="6"/>
      <c r="N73" s="6">
        <f t="shared" si="30"/>
        <v>3.1065840782118471E-2</v>
      </c>
      <c r="O73" s="6">
        <f t="shared" si="31"/>
        <v>0.6740070626850746</v>
      </c>
      <c r="P73" s="6"/>
      <c r="Q73" s="6">
        <f t="shared" si="32"/>
        <v>1.6764084444285482E-2</v>
      </c>
      <c r="R73" s="6">
        <f t="shared" si="33"/>
        <v>0.5892058287116877</v>
      </c>
    </row>
    <row r="74" spans="2:18">
      <c r="B74">
        <f t="shared" si="22"/>
        <v>70</v>
      </c>
      <c r="C74" s="4">
        <f t="shared" si="23"/>
        <v>11.79999999999999</v>
      </c>
      <c r="E74" s="6">
        <f t="shared" si="24"/>
        <v>2.3191467772564139E-31</v>
      </c>
      <c r="F74" s="6">
        <f t="shared" si="25"/>
        <v>1</v>
      </c>
      <c r="G74" s="6"/>
      <c r="H74" s="6">
        <f t="shared" si="26"/>
        <v>1.6079491798406595E-3</v>
      </c>
      <c r="I74" s="6">
        <f t="shared" si="27"/>
        <v>0.9932083727404929</v>
      </c>
      <c r="J74" s="6"/>
      <c r="K74" s="6">
        <f t="shared" si="28"/>
        <v>1.150819162663108E-2</v>
      </c>
      <c r="L74" s="6">
        <f t="shared" si="29"/>
        <v>0.92896140557561924</v>
      </c>
      <c r="M74" s="6"/>
      <c r="N74" s="6">
        <f t="shared" si="30"/>
        <v>3.0300330759894314E-2</v>
      </c>
      <c r="O74" s="6">
        <f t="shared" si="31"/>
        <v>0.68014329284637554</v>
      </c>
      <c r="P74" s="6"/>
      <c r="Q74" s="6">
        <f t="shared" si="32"/>
        <v>1.6447613444512437E-2</v>
      </c>
      <c r="R74" s="6">
        <f t="shared" si="33"/>
        <v>0.59252682803192669</v>
      </c>
    </row>
    <row r="75" spans="2:18">
      <c r="B75">
        <f t="shared" si="22"/>
        <v>71</v>
      </c>
      <c r="C75" s="4">
        <f t="shared" si="23"/>
        <v>11.999999999999989</v>
      </c>
      <c r="E75" s="6">
        <f t="shared" si="24"/>
        <v>2.1463837356633353E-32</v>
      </c>
      <c r="F75" s="6">
        <f t="shared" si="25"/>
        <v>1</v>
      </c>
      <c r="G75" s="6"/>
      <c r="H75" s="6">
        <f t="shared" si="26"/>
        <v>1.5166888444606637E-3</v>
      </c>
      <c r="I75" s="6">
        <f t="shared" si="27"/>
        <v>0.99352072946647285</v>
      </c>
      <c r="J75" s="6"/>
      <c r="K75" s="6">
        <f t="shared" si="28"/>
        <v>1.1039019424914217E-2</v>
      </c>
      <c r="L75" s="6">
        <f t="shared" si="29"/>
        <v>0.9312157228660366</v>
      </c>
      <c r="M75" s="6"/>
      <c r="N75" s="6">
        <f t="shared" si="30"/>
        <v>2.9557658065952792E-2</v>
      </c>
      <c r="O75" s="6">
        <f t="shared" si="31"/>
        <v>0.68612871742875892</v>
      </c>
      <c r="P75" s="6"/>
      <c r="Q75" s="6">
        <f t="shared" si="32"/>
        <v>1.6141137025764401E-2</v>
      </c>
      <c r="R75" s="6">
        <f t="shared" si="33"/>
        <v>0.59578554033187348</v>
      </c>
    </row>
    <row r="76" spans="2:18">
      <c r="B76">
        <f t="shared" si="22"/>
        <v>72</v>
      </c>
      <c r="C76" s="4">
        <f t="shared" si="23"/>
        <v>12.199999999999989</v>
      </c>
      <c r="E76" s="6">
        <f t="shared" si="24"/>
        <v>1.9085991346370606E-33</v>
      </c>
      <c r="F76" s="6">
        <f t="shared" si="25"/>
        <v>1</v>
      </c>
      <c r="G76" s="6"/>
      <c r="H76" s="6">
        <f t="shared" si="26"/>
        <v>1.4315959683363294E-3</v>
      </c>
      <c r="I76" s="6">
        <f t="shared" si="27"/>
        <v>0.99381545933492832</v>
      </c>
      <c r="J76" s="6"/>
      <c r="K76" s="6">
        <f t="shared" si="28"/>
        <v>1.0593343534827148E-2</v>
      </c>
      <c r="L76" s="6">
        <f t="shared" si="29"/>
        <v>0.93337857953299175</v>
      </c>
      <c r="M76" s="6"/>
      <c r="N76" s="6">
        <f t="shared" si="30"/>
        <v>2.883707216108642E-2</v>
      </c>
      <c r="O76" s="6">
        <f t="shared" si="31"/>
        <v>0.6919678284761529</v>
      </c>
      <c r="P76" s="6"/>
      <c r="Q76" s="6">
        <f t="shared" si="32"/>
        <v>1.5844205688247119E-2</v>
      </c>
      <c r="R76" s="6">
        <f t="shared" si="33"/>
        <v>0.5989839191225641</v>
      </c>
    </row>
    <row r="77" spans="2:18">
      <c r="B77">
        <f t="shared" si="22"/>
        <v>73</v>
      </c>
      <c r="C77" s="4">
        <f t="shared" si="23"/>
        <v>12.399999999999988</v>
      </c>
      <c r="E77" s="6">
        <f t="shared" si="24"/>
        <v>1.6306107348399002E-34</v>
      </c>
      <c r="F77" s="6">
        <f t="shared" si="25"/>
        <v>1</v>
      </c>
      <c r="G77" s="6"/>
      <c r="H77" s="6">
        <f t="shared" si="26"/>
        <v>1.3521859553031175E-3</v>
      </c>
      <c r="I77" s="6">
        <f t="shared" si="27"/>
        <v>0.99409374661497896</v>
      </c>
      <c r="J77" s="6"/>
      <c r="K77" s="6">
        <f t="shared" si="28"/>
        <v>1.0169763770099543E-2</v>
      </c>
      <c r="L77" s="6">
        <f t="shared" si="29"/>
        <v>0.93545453314012228</v>
      </c>
      <c r="M77" s="6"/>
      <c r="N77" s="6">
        <f t="shared" si="30"/>
        <v>2.8137844631805707E-2</v>
      </c>
      <c r="O77" s="6">
        <f t="shared" si="31"/>
        <v>0.69766497013564699</v>
      </c>
      <c r="P77" s="6"/>
      <c r="Q77" s="6">
        <f t="shared" si="32"/>
        <v>1.5556396241159511E-2</v>
      </c>
      <c r="R77" s="6">
        <f t="shared" si="33"/>
        <v>0.60212383067898934</v>
      </c>
    </row>
    <row r="78" spans="2:18">
      <c r="B78">
        <f t="shared" si="22"/>
        <v>74</v>
      </c>
      <c r="C78" s="4">
        <f t="shared" si="23"/>
        <v>12.599999999999987</v>
      </c>
      <c r="E78" s="6">
        <f t="shared" si="24"/>
        <v>1.3384867992544972E-35</v>
      </c>
      <c r="F78" s="6">
        <f t="shared" si="25"/>
        <v>1</v>
      </c>
      <c r="G78" s="6"/>
      <c r="H78" s="6">
        <f t="shared" si="26"/>
        <v>1.2780176407847384E-3</v>
      </c>
      <c r="I78" s="6">
        <f t="shared" si="27"/>
        <v>0.99435668307694614</v>
      </c>
      <c r="J78" s="6"/>
      <c r="K78" s="6">
        <f t="shared" si="28"/>
        <v>9.7669767231483278E-3</v>
      </c>
      <c r="L78" s="6">
        <f t="shared" si="29"/>
        <v>0.93744787102421134</v>
      </c>
      <c r="M78" s="6"/>
      <c r="N78" s="6">
        <f t="shared" si="30"/>
        <v>2.7459269213066087E-2</v>
      </c>
      <c r="O78" s="6">
        <f t="shared" si="31"/>
        <v>0.70322434308722936</v>
      </c>
      <c r="P78" s="6"/>
      <c r="Q78" s="6">
        <f t="shared" si="32"/>
        <v>1.5277309908133065E-2</v>
      </c>
      <c r="R78" s="6">
        <f t="shared" si="33"/>
        <v>0.60520705910960049</v>
      </c>
    </row>
    <row r="79" spans="2:18">
      <c r="B79">
        <f t="shared" si="22"/>
        <v>75</v>
      </c>
      <c r="C79" s="4">
        <f t="shared" si="23"/>
        <v>12.799999999999986</v>
      </c>
      <c r="E79" s="6">
        <f t="shared" si="24"/>
        <v>1.0556163502454689E-36</v>
      </c>
      <c r="F79" s="6">
        <f t="shared" si="25"/>
        <v>1</v>
      </c>
      <c r="G79" s="6"/>
      <c r="H79" s="6">
        <f t="shared" si="26"/>
        <v>1.2086889201284581E-3</v>
      </c>
      <c r="I79" s="6">
        <f t="shared" si="27"/>
        <v>0.99460527623282735</v>
      </c>
      <c r="J79" s="6"/>
      <c r="K79" s="6">
        <f t="shared" si="28"/>
        <v>9.3837681678446624E-3</v>
      </c>
      <c r="L79" s="6">
        <f t="shared" si="29"/>
        <v>0.93936262887953992</v>
      </c>
      <c r="M79" s="6"/>
      <c r="N79" s="6">
        <f t="shared" si="30"/>
        <v>2.6800661684312541E-2</v>
      </c>
      <c r="O79" s="6">
        <f t="shared" si="31"/>
        <v>0.7086500089649912</v>
      </c>
      <c r="P79" s="6"/>
      <c r="Q79" s="6">
        <f t="shared" si="32"/>
        <v>1.5006570594291092E-2</v>
      </c>
      <c r="R79" s="6">
        <f t="shared" si="33"/>
        <v>0.60823531106334672</v>
      </c>
    </row>
    <row r="80" spans="2:18">
      <c r="B80">
        <f t="shared" si="22"/>
        <v>76</v>
      </c>
      <c r="C80" s="4">
        <f t="shared" si="23"/>
        <v>12.999999999999986</v>
      </c>
      <c r="E80" s="6">
        <f t="shared" si="24"/>
        <v>7.99882775700829E-38</v>
      </c>
      <c r="F80" s="6">
        <f t="shared" si="25"/>
        <v>1</v>
      </c>
      <c r="G80" s="6"/>
      <c r="H80" s="6">
        <f t="shared" si="26"/>
        <v>1.1438328648722702E-3</v>
      </c>
      <c r="I80" s="6">
        <f t="shared" si="27"/>
        <v>0.99484045675229982</v>
      </c>
      <c r="J80" s="6"/>
      <c r="K80" s="6">
        <f t="shared" si="28"/>
        <v>9.0190061277156033E-3</v>
      </c>
      <c r="L80" s="6">
        <f t="shared" si="29"/>
        <v>0.94120260789046184</v>
      </c>
      <c r="M80" s="6"/>
      <c r="N80" s="6">
        <f t="shared" si="30"/>
        <v>2.6161359661539034E-2</v>
      </c>
      <c r="O80" s="6">
        <f t="shared" si="31"/>
        <v>0.71394589474679315</v>
      </c>
      <c r="P80" s="6"/>
      <c r="Q80" s="6">
        <f t="shared" si="32"/>
        <v>1.4743823299031828E-2</v>
      </c>
      <c r="R80" s="6">
        <f t="shared" si="33"/>
        <v>0.61121022010494575</v>
      </c>
    </row>
    <row r="81" spans="2:18">
      <c r="B81">
        <f t="shared" si="22"/>
        <v>77</v>
      </c>
      <c r="C81" s="4">
        <f t="shared" si="23"/>
        <v>13.199999999999985</v>
      </c>
      <c r="E81" s="6">
        <f t="shared" si="24"/>
        <v>5.8233755997376449E-39</v>
      </c>
      <c r="F81" s="6">
        <f t="shared" si="25"/>
        <v>1</v>
      </c>
      <c r="G81" s="6"/>
      <c r="H81" s="6">
        <f t="shared" si="26"/>
        <v>1.0831142671960633E-3</v>
      </c>
      <c r="I81" s="6">
        <f t="shared" si="27"/>
        <v>0.99506308514572128</v>
      </c>
      <c r="J81" s="6"/>
      <c r="K81" s="6">
        <f t="shared" si="28"/>
        <v>8.6716345455510376E-3</v>
      </c>
      <c r="L81" s="6">
        <f t="shared" si="29"/>
        <v>0.94297139053876966</v>
      </c>
      <c r="M81" s="6"/>
      <c r="N81" s="6">
        <f t="shared" si="30"/>
        <v>2.5540722304646466E-2</v>
      </c>
      <c r="O81" s="6">
        <f t="shared" si="31"/>
        <v>0.71911579709357809</v>
      </c>
      <c r="P81" s="6"/>
      <c r="Q81" s="6">
        <f t="shared" si="32"/>
        <v>1.4488732660404758E-2</v>
      </c>
      <c r="R81" s="6">
        <f t="shared" si="33"/>
        <v>0.61413335078609221</v>
      </c>
    </row>
    <row r="82" spans="2:18">
      <c r="B82">
        <f t="shared" si="22"/>
        <v>78</v>
      </c>
      <c r="C82" s="4">
        <f t="shared" si="23"/>
        <v>13.399999999999984</v>
      </c>
      <c r="E82" s="6">
        <f t="shared" si="24"/>
        <v>4.0733476775287132E-40</v>
      </c>
      <c r="F82" s="6">
        <f t="shared" si="25"/>
        <v>1</v>
      </c>
      <c r="G82" s="6"/>
      <c r="H82" s="6">
        <f t="shared" si="26"/>
        <v>1.0262265607640828E-3</v>
      </c>
      <c r="I82" s="6">
        <f t="shared" si="27"/>
        <v>0.99527395779446337</v>
      </c>
      <c r="J82" s="6"/>
      <c r="K82" s="6">
        <f t="shared" si="28"/>
        <v>8.3406674970591937E-3</v>
      </c>
      <c r="L82" s="6">
        <f t="shared" si="29"/>
        <v>0.94467235520029114</v>
      </c>
      <c r="M82" s="6"/>
      <c r="N82" s="6">
        <f t="shared" si="30"/>
        <v>2.4938129956472491E-2</v>
      </c>
      <c r="O82" s="6">
        <f t="shared" si="31"/>
        <v>0.72416338662307156</v>
      </c>
      <c r="P82" s="6"/>
      <c r="Q82" s="6">
        <f t="shared" si="32"/>
        <v>1.4240981618499146E-2</v>
      </c>
      <c r="R82" s="6">
        <f t="shared" si="33"/>
        <v>0.61700620243764104</v>
      </c>
    </row>
    <row r="83" spans="2:18">
      <c r="B83">
        <f t="shared" si="22"/>
        <v>79</v>
      </c>
      <c r="C83" s="4">
        <f t="shared" si="23"/>
        <v>13.599999999999984</v>
      </c>
      <c r="E83" s="6">
        <f t="shared" si="24"/>
        <v>2.7375141923558921E-41</v>
      </c>
      <c r="F83" s="6">
        <f t="shared" si="25"/>
        <v>1</v>
      </c>
      <c r="G83" s="6"/>
      <c r="H83" s="6">
        <f t="shared" si="26"/>
        <v>9.7288907297788491E-4</v>
      </c>
      <c r="I83" s="6">
        <f t="shared" si="27"/>
        <v>0.99547381239925303</v>
      </c>
      <c r="J83" s="6"/>
      <c r="K83" s="6">
        <f t="shared" si="28"/>
        <v>8.0251838971426587E-3</v>
      </c>
      <c r="L83" s="6">
        <f t="shared" si="29"/>
        <v>0.94630868963428993</v>
      </c>
      <c r="M83" s="6"/>
      <c r="N83" s="6">
        <f t="shared" si="30"/>
        <v>2.4352983727384519E-2</v>
      </c>
      <c r="O83" s="6">
        <f t="shared" si="31"/>
        <v>0.72909221210563202</v>
      </c>
      <c r="P83" s="6"/>
      <c r="Q83" s="6">
        <f t="shared" si="32"/>
        <v>1.4000270186622241E-2</v>
      </c>
      <c r="R83" s="6">
        <f t="shared" si="33"/>
        <v>0.61983021270542349</v>
      </c>
    </row>
    <row r="84" spans="2:18">
      <c r="B84">
        <f t="shared" si="22"/>
        <v>80</v>
      </c>
      <c r="C84" s="4">
        <f t="shared" si="23"/>
        <v>13.799999999999983</v>
      </c>
      <c r="E84" s="6">
        <f t="shared" si="24"/>
        <v>1.7676224102539282E-42</v>
      </c>
      <c r="F84" s="6">
        <f t="shared" si="25"/>
        <v>1</v>
      </c>
      <c r="G84" s="6"/>
      <c r="H84" s="6">
        <f t="shared" si="26"/>
        <v>9.2284456950448397E-4</v>
      </c>
      <c r="I84" s="6">
        <f t="shared" si="27"/>
        <v>0.99566333290880016</v>
      </c>
      <c r="J84" s="6"/>
      <c r="K84" s="6">
        <f t="shared" si="28"/>
        <v>7.7243226526421179E-3</v>
      </c>
      <c r="L84" s="6">
        <f t="shared" si="29"/>
        <v>0.94788340345949607</v>
      </c>
      <c r="M84" s="6"/>
      <c r="N84" s="6">
        <f t="shared" si="30"/>
        <v>2.3784705037206044E-2</v>
      </c>
      <c r="O84" s="6">
        <f t="shared" si="31"/>
        <v>0.73390570457257143</v>
      </c>
      <c r="P84" s="6"/>
      <c r="Q84" s="6">
        <f t="shared" si="32"/>
        <v>1.3766314320240834E-2</v>
      </c>
      <c r="R84" s="6">
        <f t="shared" si="33"/>
        <v>0.62260676085023348</v>
      </c>
    </row>
    <row r="85" spans="2:18">
      <c r="B85">
        <f t="shared" si="22"/>
        <v>81</v>
      </c>
      <c r="C85" s="4">
        <f t="shared" si="23"/>
        <v>13.999999999999982</v>
      </c>
      <c r="E85" s="6">
        <f t="shared" si="24"/>
        <v>1.0966065593892519E-43</v>
      </c>
      <c r="F85" s="6">
        <f t="shared" si="25"/>
        <v>1</v>
      </c>
      <c r="G85" s="6"/>
      <c r="H85" s="6">
        <f t="shared" si="26"/>
        <v>8.7585705696968663E-4</v>
      </c>
      <c r="I85" s="6">
        <f t="shared" si="27"/>
        <v>0.9958431539836774</v>
      </c>
      <c r="J85" s="6"/>
      <c r="K85" s="6">
        <f t="shared" si="28"/>
        <v>7.4372782200890402E-3</v>
      </c>
      <c r="L85" s="6">
        <f t="shared" si="29"/>
        <v>0.9493993397018422</v>
      </c>
      <c r="M85" s="6"/>
      <c r="N85" s="6">
        <f t="shared" si="30"/>
        <v>2.3232735124436549E-2</v>
      </c>
      <c r="O85" s="6">
        <f t="shared" si="31"/>
        <v>0.73860718132944025</v>
      </c>
      <c r="P85" s="6"/>
      <c r="Q85" s="6">
        <f t="shared" si="32"/>
        <v>1.3538844874714915E-2</v>
      </c>
      <c r="R85" s="6">
        <f t="shared" si="33"/>
        <v>0.62533717083062212</v>
      </c>
    </row>
    <row r="86" spans="2:18">
      <c r="B86">
        <f t="shared" si="22"/>
        <v>82</v>
      </c>
      <c r="C86" s="4">
        <f t="shared" si="23"/>
        <v>14.199999999999982</v>
      </c>
      <c r="E86" s="6">
        <f t="shared" si="24"/>
        <v>6.5364267753203303E-45</v>
      </c>
      <c r="F86" s="6">
        <f t="shared" si="25"/>
        <v>1</v>
      </c>
      <c r="G86" s="6"/>
      <c r="H86" s="6">
        <f t="shared" si="26"/>
        <v>8.3170981403587313E-4</v>
      </c>
      <c r="I86" s="6">
        <f t="shared" si="27"/>
        <v>0.9960138650440411</v>
      </c>
      <c r="J86" s="6"/>
      <c r="K86" s="6">
        <f t="shared" si="28"/>
        <v>7.1632965311924229E-3</v>
      </c>
      <c r="L86" s="6">
        <f t="shared" si="29"/>
        <v>0.95085918549111159</v>
      </c>
      <c r="M86" s="6"/>
      <c r="N86" s="6">
        <f t="shared" si="30"/>
        <v>2.26965345311783E-2</v>
      </c>
      <c r="O86" s="6">
        <f t="shared" si="31"/>
        <v>0.74319984986859644</v>
      </c>
      <c r="P86" s="6"/>
      <c r="Q86" s="6">
        <f t="shared" si="32"/>
        <v>1.3317606643781451E-2</v>
      </c>
      <c r="R86" s="6">
        <f t="shared" si="33"/>
        <v>0.62802271418544231</v>
      </c>
    </row>
    <row r="87" spans="2:18">
      <c r="B87">
        <f t="shared" si="22"/>
        <v>83</v>
      </c>
      <c r="C87" s="4">
        <f t="shared" si="23"/>
        <v>14.399999999999981</v>
      </c>
      <c r="E87" s="6">
        <f t="shared" si="24"/>
        <v>3.7433305798860726E-46</v>
      </c>
      <c r="F87" s="6">
        <f t="shared" si="25"/>
        <v>1</v>
      </c>
      <c r="G87" s="6"/>
      <c r="H87" s="6">
        <f t="shared" si="26"/>
        <v>7.90203624819416E-4</v>
      </c>
      <c r="I87" s="6">
        <f t="shared" si="27"/>
        <v>0.99617601394420741</v>
      </c>
      <c r="J87" s="6"/>
      <c r="K87" s="6">
        <f t="shared" si="28"/>
        <v>6.9016712525140824E-3</v>
      </c>
      <c r="L87" s="6">
        <f t="shared" si="29"/>
        <v>0.95226548197663241</v>
      </c>
      <c r="M87" s="6"/>
      <c r="N87" s="6">
        <f t="shared" si="30"/>
        <v>2.2175582570860039E-2</v>
      </c>
      <c r="O87" s="6">
        <f t="shared" si="31"/>
        <v>0.74768681167693296</v>
      </c>
      <c r="P87" s="6"/>
      <c r="Q87" s="6">
        <f t="shared" si="32"/>
        <v>1.310235747157136E-2</v>
      </c>
      <c r="R87" s="6">
        <f t="shared" si="33"/>
        <v>0.63066461273155583</v>
      </c>
    </row>
    <row r="88" spans="2:18">
      <c r="B88">
        <f t="shared" si="22"/>
        <v>84</v>
      </c>
      <c r="C88" s="4">
        <f t="shared" si="23"/>
        <v>14.59999999999998</v>
      </c>
      <c r="E88" s="6">
        <f t="shared" si="24"/>
        <v>2.0597010224095164E-47</v>
      </c>
      <c r="F88" s="6">
        <f t="shared" si="25"/>
        <v>1</v>
      </c>
      <c r="G88" s="6"/>
      <c r="H88" s="6">
        <f t="shared" si="26"/>
        <v>7.5115519183313259E-4</v>
      </c>
      <c r="I88" s="6">
        <f t="shared" si="27"/>
        <v>0.99633011031221985</v>
      </c>
      <c r="J88" s="6"/>
      <c r="K88" s="6">
        <f t="shared" si="28"/>
        <v>6.6517403491171386E-3</v>
      </c>
      <c r="L88" s="6">
        <f t="shared" si="29"/>
        <v>0.95362063352578286</v>
      </c>
      <c r="M88" s="6"/>
      <c r="N88" s="6">
        <f t="shared" si="30"/>
        <v>2.1669376784718461E-2</v>
      </c>
      <c r="O88" s="6">
        <f t="shared" si="31"/>
        <v>0.75207106593593387</v>
      </c>
      <c r="P88" s="6"/>
      <c r="Q88" s="6">
        <f t="shared" si="32"/>
        <v>1.2892867431670797E-2</v>
      </c>
      <c r="R88" s="6">
        <f t="shared" si="33"/>
        <v>0.63326404109075141</v>
      </c>
    </row>
    <row r="89" spans="2:18">
      <c r="B89">
        <f t="shared" si="22"/>
        <v>85</v>
      </c>
      <c r="C89" s="4">
        <f t="shared" si="23"/>
        <v>14.799999999999979</v>
      </c>
      <c r="E89" s="6">
        <f t="shared" si="24"/>
        <v>1.0888759553280619E-48</v>
      </c>
      <c r="F89" s="6">
        <f t="shared" si="25"/>
        <v>1</v>
      </c>
      <c r="G89" s="6"/>
      <c r="H89" s="6">
        <f t="shared" si="26"/>
        <v>7.1439570843693449E-4</v>
      </c>
      <c r="I89" s="6">
        <f t="shared" si="27"/>
        <v>0.99647662858826846</v>
      </c>
      <c r="J89" s="6"/>
      <c r="K89" s="6">
        <f t="shared" si="28"/>
        <v>6.4128829249450953E-3</v>
      </c>
      <c r="L89" s="6">
        <f t="shared" si="29"/>
        <v>0.95492691626332959</v>
      </c>
      <c r="M89" s="6"/>
      <c r="N89" s="6">
        <f t="shared" si="30"/>
        <v>2.1177432392030678E-2</v>
      </c>
      <c r="O89" s="6">
        <f t="shared" si="31"/>
        <v>0.75635551311232607</v>
      </c>
      <c r="P89" s="6"/>
      <c r="Q89" s="6">
        <f t="shared" si="32"/>
        <v>1.2688918067386468E-2</v>
      </c>
      <c r="R89" s="6">
        <f t="shared" si="33"/>
        <v>0.63582212905868774</v>
      </c>
    </row>
    <row r="90" spans="2:18">
      <c r="B90">
        <f t="shared" si="22"/>
        <v>86</v>
      </c>
      <c r="C90" s="4">
        <f t="shared" si="23"/>
        <v>14.999999999999979</v>
      </c>
      <c r="E90" s="6">
        <f t="shared" si="24"/>
        <v>5.5307095498461455E-50</v>
      </c>
      <c r="F90" s="6">
        <f t="shared" si="25"/>
        <v>1</v>
      </c>
      <c r="G90" s="6"/>
      <c r="H90" s="6">
        <f t="shared" si="26"/>
        <v>6.7976957320719155E-4</v>
      </c>
      <c r="I90" s="6">
        <f t="shared" si="27"/>
        <v>0.99661601079206652</v>
      </c>
      <c r="J90" s="6"/>
      <c r="K90" s="6">
        <f t="shared" si="28"/>
        <v>6.1845163153489988E-3</v>
      </c>
      <c r="L90" s="6">
        <f t="shared" si="29"/>
        <v>0.95618648600444611</v>
      </c>
      <c r="M90" s="6"/>
      <c r="N90" s="6">
        <f t="shared" si="30"/>
        <v>2.0699281738265945E-2</v>
      </c>
      <c r="O90" s="6">
        <f t="shared" si="31"/>
        <v>0.76054295843850717</v>
      </c>
      <c r="P90" s="6"/>
      <c r="Q90" s="6">
        <f t="shared" si="32"/>
        <v>1.2490301687949242E-2</v>
      </c>
      <c r="R90" s="6">
        <f t="shared" si="33"/>
        <v>0.63833996382756741</v>
      </c>
    </row>
    <row r="91" spans="2:18">
      <c r="B91">
        <f t="shared" si="22"/>
        <v>87</v>
      </c>
      <c r="C91" s="4">
        <f t="shared" si="23"/>
        <v>15.199999999999978</v>
      </c>
      <c r="E91" s="6">
        <f t="shared" si="24"/>
        <v>2.6990536443891706E-51</v>
      </c>
      <c r="F91" s="6">
        <f t="shared" si="25"/>
        <v>1</v>
      </c>
      <c r="G91" s="6"/>
      <c r="H91" s="6">
        <f t="shared" si="26"/>
        <v>6.471332307449965E-4</v>
      </c>
      <c r="I91" s="6">
        <f t="shared" si="27"/>
        <v>0.99674866904598558</v>
      </c>
      <c r="J91" s="6"/>
      <c r="K91" s="6">
        <f t="shared" si="28"/>
        <v>5.9660934095591015E-3</v>
      </c>
      <c r="L91" s="6">
        <f t="shared" si="29"/>
        <v>0.95740138562958199</v>
      </c>
      <c r="M91" s="6"/>
      <c r="N91" s="6">
        <f t="shared" si="30"/>
        <v>2.0234473744618276E-2</v>
      </c>
      <c r="O91" s="6">
        <f t="shared" si="31"/>
        <v>0.7646361152826876</v>
      </c>
      <c r="P91" s="6"/>
      <c r="Q91" s="6">
        <f t="shared" si="32"/>
        <v>1.2296820715903198E-2</v>
      </c>
      <c r="R91" s="6">
        <f t="shared" si="33"/>
        <v>0.64081859207324365</v>
      </c>
    </row>
    <row r="92" spans="2:18">
      <c r="B92">
        <f t="shared" si="22"/>
        <v>88</v>
      </c>
      <c r="C92" s="4">
        <f t="shared" si="23"/>
        <v>15.399999999999977</v>
      </c>
      <c r="E92" s="6">
        <f t="shared" si="24"/>
        <v>1.2655240466052194E-52</v>
      </c>
      <c r="F92" s="6">
        <f t="shared" si="25"/>
        <v>1</v>
      </c>
      <c r="G92" s="6"/>
      <c r="H92" s="6">
        <f t="shared" si="26"/>
        <v>6.163541252799604E-4</v>
      </c>
      <c r="I92" s="6">
        <f t="shared" si="27"/>
        <v>0.9968749878778459</v>
      </c>
      <c r="J92" s="6"/>
      <c r="K92" s="6">
        <f t="shared" si="28"/>
        <v>5.757100183028916E-3</v>
      </c>
      <c r="L92" s="6">
        <f t="shared" si="29"/>
        <v>0.95857355194513272</v>
      </c>
      <c r="M92" s="6"/>
      <c r="N92" s="6">
        <f t="shared" si="30"/>
        <v>1.9782573361778837E-2</v>
      </c>
      <c r="O92" s="6">
        <f t="shared" si="31"/>
        <v>0.76863760840932194</v>
      </c>
      <c r="P92" s="6"/>
      <c r="Q92" s="6">
        <f t="shared" si="32"/>
        <v>1.210828708138412E-2</v>
      </c>
      <c r="R92" s="6">
        <f t="shared" si="33"/>
        <v>0.64325902191656337</v>
      </c>
    </row>
    <row r="93" spans="2:18">
      <c r="B93">
        <f t="shared" si="22"/>
        <v>89</v>
      </c>
      <c r="C93" s="4">
        <f t="shared" si="23"/>
        <v>15.599999999999977</v>
      </c>
      <c r="E93" s="6">
        <f t="shared" si="24"/>
        <v>5.7010848909433127E-54</v>
      </c>
      <c r="F93" s="6">
        <f t="shared" si="25"/>
        <v>1</v>
      </c>
      <c r="G93" s="6"/>
      <c r="H93" s="6">
        <f t="shared" si="26"/>
        <v>5.8730975502744209E-4</v>
      </c>
      <c r="I93" s="6">
        <f t="shared" si="27"/>
        <v>0.99699532632469201</v>
      </c>
      <c r="J93" s="6"/>
      <c r="K93" s="6">
        <f t="shared" si="28"/>
        <v>5.5570534214903758E-3</v>
      </c>
      <c r="L93" s="6">
        <f t="shared" si="29"/>
        <v>0.95970482207003627</v>
      </c>
      <c r="M93" s="6"/>
      <c r="N93" s="6">
        <f t="shared" si="30"/>
        <v>1.934316103029218E-2</v>
      </c>
      <c r="O93" s="6">
        <f t="shared" si="31"/>
        <v>0.772549977130917</v>
      </c>
      <c r="P93" s="6"/>
      <c r="Q93" s="6">
        <f t="shared" si="32"/>
        <v>1.1924521659398892E-2</v>
      </c>
      <c r="R93" s="6">
        <f t="shared" si="33"/>
        <v>0.64566222476792767</v>
      </c>
    </row>
    <row r="94" spans="2:18">
      <c r="B94">
        <f t="shared" si="22"/>
        <v>90</v>
      </c>
      <c r="C94" s="4">
        <f t="shared" si="23"/>
        <v>15.799999999999976</v>
      </c>
      <c r="E94" s="6">
        <f t="shared" si="24"/>
        <v>2.4675890515665411E-55</v>
      </c>
      <c r="F94" s="6">
        <f t="shared" si="25"/>
        <v>1</v>
      </c>
      <c r="G94" s="6"/>
      <c r="H94" s="6">
        <f t="shared" si="26"/>
        <v>5.5988681665550797E-4</v>
      </c>
      <c r="I94" s="6">
        <f t="shared" si="27"/>
        <v>0.99711001985661563</v>
      </c>
      <c r="J94" s="6"/>
      <c r="K94" s="6">
        <f t="shared" si="28"/>
        <v>5.36549862027344E-3</v>
      </c>
      <c r="L94" s="6">
        <f t="shared" si="29"/>
        <v>0.96079693938496846</v>
      </c>
      <c r="M94" s="6"/>
      <c r="N94" s="6">
        <f t="shared" si="30"/>
        <v>1.8915832149401065E-2</v>
      </c>
      <c r="O94" s="6">
        <f t="shared" si="31"/>
        <v>0.77637567835273136</v>
      </c>
      <c r="P94" s="6"/>
      <c r="Q94" s="6">
        <f t="shared" si="32"/>
        <v>1.1745353746582489E-2</v>
      </c>
      <c r="R94" s="6">
        <f t="shared" si="33"/>
        <v>0.64802913706331045</v>
      </c>
    </row>
    <row r="95" spans="2:18">
      <c r="B95">
        <f t="shared" si="22"/>
        <v>91</v>
      </c>
      <c r="C95" s="4">
        <f t="shared" si="23"/>
        <v>15.999999999999975</v>
      </c>
      <c r="E95" s="6">
        <f t="shared" si="24"/>
        <v>1.0261630727923118E-56</v>
      </c>
      <c r="F95" s="6">
        <f t="shared" si="25"/>
        <v>1</v>
      </c>
      <c r="G95" s="6"/>
      <c r="H95" s="6">
        <f t="shared" si="26"/>
        <v>5.3398043044087856E-4</v>
      </c>
      <c r="I95" s="6">
        <f t="shared" si="27"/>
        <v>0.99721938213769046</v>
      </c>
      <c r="J95" s="6"/>
      <c r="K95" s="6">
        <f t="shared" si="28"/>
        <v>5.1820080439830647E-3</v>
      </c>
      <c r="L95" s="6">
        <f t="shared" si="29"/>
        <v>0.9618515590776745</v>
      </c>
      <c r="M95" s="6"/>
      <c r="N95" s="6">
        <f t="shared" si="30"/>
        <v>1.8500196555910276E-2</v>
      </c>
      <c r="O95" s="6">
        <f t="shared" si="31"/>
        <v>0.78011708951222369</v>
      </c>
      <c r="P95" s="6"/>
      <c r="Q95" s="6">
        <f t="shared" si="32"/>
        <v>1.15706205742359E-2</v>
      </c>
      <c r="R95" s="6">
        <f t="shared" si="33"/>
        <v>0.65036066189930886</v>
      </c>
    </row>
    <row r="96" spans="2:18">
      <c r="B96">
        <f t="shared" si="22"/>
        <v>92</v>
      </c>
      <c r="C96" s="4">
        <f t="shared" si="23"/>
        <v>16.199999999999974</v>
      </c>
      <c r="E96" s="6">
        <f t="shared" si="24"/>
        <v>4.1000405358349667E-58</v>
      </c>
      <c r="F96" s="6">
        <f t="shared" si="25"/>
        <v>1</v>
      </c>
      <c r="G96" s="6"/>
      <c r="H96" s="6">
        <f t="shared" si="26"/>
        <v>5.0949343776455634E-4</v>
      </c>
      <c r="I96" s="6">
        <f t="shared" si="27"/>
        <v>0.99732370663930203</v>
      </c>
      <c r="J96" s="6"/>
      <c r="K96" s="6">
        <f t="shared" si="28"/>
        <v>5.0061789330108136E-3</v>
      </c>
      <c r="L96" s="6">
        <f t="shared" si="29"/>
        <v>0.96287025331513365</v>
      </c>
      <c r="M96" s="6"/>
      <c r="N96" s="6">
        <f t="shared" si="30"/>
        <v>1.8095878014281228E-2</v>
      </c>
      <c r="O96" s="6">
        <f t="shared" si="31"/>
        <v>0.78377651141537874</v>
      </c>
      <c r="P96" s="6"/>
      <c r="Q96" s="6">
        <f t="shared" si="32"/>
        <v>1.1400166854740783E-2</v>
      </c>
      <c r="R96" s="6">
        <f t="shared" si="33"/>
        <v>0.65265767057418411</v>
      </c>
    </row>
    <row r="97" spans="2:18">
      <c r="B97">
        <f t="shared" si="22"/>
        <v>93</v>
      </c>
      <c r="C97" s="4">
        <f t="shared" si="23"/>
        <v>16.399999999999974</v>
      </c>
      <c r="E97" s="6">
        <f t="shared" si="24"/>
        <v>1.5739398797773159E-59</v>
      </c>
      <c r="F97" s="6">
        <f t="shared" si="25"/>
        <v>1</v>
      </c>
      <c r="G97" s="6"/>
      <c r="H97" s="6">
        <f t="shared" si="26"/>
        <v>4.863357635374414E-4</v>
      </c>
      <c r="I97" s="6">
        <f t="shared" si="27"/>
        <v>0.99742326811958604</v>
      </c>
      <c r="J97" s="6"/>
      <c r="K97" s="6">
        <f t="shared" si="28"/>
        <v>4.8376318446034638E-3</v>
      </c>
      <c r="L97" s="6">
        <f t="shared" si="29"/>
        <v>0.96385451607067685</v>
      </c>
      <c r="M97" s="6"/>
      <c r="N97" s="6">
        <f t="shared" si="30"/>
        <v>1.7702513718898413E-2</v>
      </c>
      <c r="O97" s="6">
        <f t="shared" si="31"/>
        <v>0.78735617097225585</v>
      </c>
      <c r="P97" s="6"/>
      <c r="Q97" s="6">
        <f t="shared" si="32"/>
        <v>1.1233844358710266E-2</v>
      </c>
      <c r="R97" s="6">
        <f t="shared" si="33"/>
        <v>0.65492100404130138</v>
      </c>
    </row>
    <row r="98" spans="2:18">
      <c r="B98">
        <f t="shared" si="22"/>
        <v>94</v>
      </c>
      <c r="C98" s="4">
        <f t="shared" si="23"/>
        <v>16.599999999999973</v>
      </c>
      <c r="E98" s="6">
        <f t="shared" si="24"/>
        <v>5.8051888065315305E-61</v>
      </c>
      <c r="F98" s="6">
        <f t="shared" si="25"/>
        <v>1</v>
      </c>
      <c r="G98" s="6"/>
      <c r="H98" s="6">
        <f t="shared" si="26"/>
        <v>4.6442383697193479E-4</v>
      </c>
      <c r="I98" s="6">
        <f t="shared" si="27"/>
        <v>0.99751832398129014</v>
      </c>
      <c r="J98" s="6"/>
      <c r="K98" s="6">
        <f t="shared" si="28"/>
        <v>4.6760091173326723E-3</v>
      </c>
      <c r="L98" s="6">
        <f t="shared" si="29"/>
        <v>0.9648057676318359</v>
      </c>
      <c r="M98" s="6"/>
      <c r="N98" s="6">
        <f t="shared" si="30"/>
        <v>1.7319753809218859E-2</v>
      </c>
      <c r="O98" s="6">
        <f t="shared" si="31"/>
        <v>0.79085822383426951</v>
      </c>
      <c r="P98" s="6"/>
      <c r="Q98" s="6">
        <f t="shared" si="32"/>
        <v>1.1071511520471207E-2</v>
      </c>
      <c r="R98" s="6">
        <f t="shared" si="33"/>
        <v>0.65715147428087106</v>
      </c>
    </row>
    <row r="99" spans="2:18">
      <c r="B99">
        <f t="shared" si="22"/>
        <v>95</v>
      </c>
      <c r="C99" s="4">
        <f t="shared" si="23"/>
        <v>16.799999999999972</v>
      </c>
      <c r="E99" s="6">
        <f t="shared" si="24"/>
        <v>2.0571823030296061E-62</v>
      </c>
      <c r="F99" s="6">
        <f t="shared" si="25"/>
        <v>1</v>
      </c>
      <c r="G99" s="6"/>
      <c r="H99" s="6">
        <f t="shared" si="26"/>
        <v>4.4368006484165408E-4</v>
      </c>
      <c r="I99" s="6">
        <f t="shared" si="27"/>
        <v>0.99760911551913045</v>
      </c>
      <c r="J99" s="6"/>
      <c r="K99" s="6">
        <f t="shared" si="28"/>
        <v>4.5209734488198365E-3</v>
      </c>
      <c r="L99" s="6">
        <f t="shared" si="29"/>
        <v>0.96572535881257282</v>
      </c>
      <c r="M99" s="6"/>
      <c r="N99" s="6">
        <f t="shared" si="30"/>
        <v>1.6947260898321038E-2</v>
      </c>
      <c r="O99" s="6">
        <f t="shared" si="31"/>
        <v>0.79428475693583056</v>
      </c>
      <c r="P99" s="6"/>
      <c r="Q99" s="6">
        <f t="shared" si="32"/>
        <v>1.0913033069686719E-2</v>
      </c>
      <c r="R99" s="6">
        <f t="shared" si="33"/>
        <v>0.65934986559543474</v>
      </c>
    </row>
    <row r="100" spans="2:18">
      <c r="B100">
        <f t="shared" si="22"/>
        <v>96</v>
      </c>
      <c r="C100" s="4">
        <f t="shared" si="23"/>
        <v>16.999999999999972</v>
      </c>
      <c r="E100" s="6">
        <f t="shared" si="24"/>
        <v>7.0041821343219655E-64</v>
      </c>
      <c r="F100" s="6">
        <f t="shared" si="25"/>
        <v>1</v>
      </c>
      <c r="G100" s="6"/>
      <c r="H100" s="6">
        <f t="shared" si="26"/>
        <v>4.2403235201118514E-4</v>
      </c>
      <c r="I100" s="6">
        <f t="shared" si="27"/>
        <v>0.99769586906660979</v>
      </c>
      <c r="J100" s="6"/>
      <c r="K100" s="6">
        <f t="shared" si="28"/>
        <v>4.3722065774823415E-3</v>
      </c>
      <c r="L100" s="6">
        <f t="shared" si="29"/>
        <v>0.96661457489160285</v>
      </c>
      <c r="M100" s="6"/>
      <c r="N100" s="6">
        <f t="shared" si="30"/>
        <v>1.6584709615206077E-2</v>
      </c>
      <c r="O100" s="6">
        <f t="shared" si="31"/>
        <v>0.79763779094307108</v>
      </c>
      <c r="P100" s="6"/>
      <c r="Q100" s="6">
        <f t="shared" si="32"/>
        <v>1.0758279687119043E-2</v>
      </c>
      <c r="R100" s="6">
        <f t="shared" si="33"/>
        <v>0.66151693583412297</v>
      </c>
    </row>
    <row r="101" spans="2:18">
      <c r="B101">
        <f t="shared" si="22"/>
        <v>97</v>
      </c>
      <c r="C101" s="4">
        <f t="shared" si="23"/>
        <v>17.199999999999971</v>
      </c>
      <c r="E101" s="6">
        <f t="shared" si="24"/>
        <v>2.2912385237005512E-65</v>
      </c>
      <c r="F101" s="6">
        <f t="shared" ref="F101" si="34">_xlfn.NORM.DIST($C101,E$2,E$3,1)</f>
        <v>1</v>
      </c>
      <c r="G101" s="6"/>
      <c r="H101" s="6">
        <f t="shared" si="26"/>
        <v>4.0541366458205587E-4</v>
      </c>
      <c r="I101" s="6">
        <f t="shared" si="27"/>
        <v>0.9977787970512757</v>
      </c>
      <c r="J101" s="6"/>
      <c r="K101" s="6">
        <f t="shared" si="28"/>
        <v>4.2294080598900908E-3</v>
      </c>
      <c r="L101" s="6">
        <f t="shared" si="29"/>
        <v>0.96747463929676247</v>
      </c>
      <c r="M101" s="6"/>
      <c r="N101" s="6">
        <f t="shared" si="30"/>
        <v>1.6231786161064934E-2</v>
      </c>
      <c r="O101" s="6">
        <f t="shared" si="31"/>
        <v>0.8009192826124204</v>
      </c>
      <c r="P101" s="6"/>
      <c r="Q101" s="6">
        <f t="shared" si="32"/>
        <v>1.0607127682706215E-2</v>
      </c>
      <c r="R101" s="6">
        <f t="shared" si="33"/>
        <v>0.66365341755032459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Normal(m,s)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Drouin</dc:creator>
  <cp:lastModifiedBy>Jerome Drouin</cp:lastModifiedBy>
  <dcterms:created xsi:type="dcterms:W3CDTF">2019-01-22T10:36:21Z</dcterms:created>
  <dcterms:modified xsi:type="dcterms:W3CDTF">2019-02-03T12:13:17Z</dcterms:modified>
</cp:coreProperties>
</file>